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kumaragurudtsteam-my.sharepoint.com/personal/vimal_ea_cse_kct_ac_in/Documents/Desktop/"/>
    </mc:Choice>
  </mc:AlternateContent>
  <xr:revisionPtr revIDLastSave="0" documentId="8_{FB812926-55CF-476E-B6D6-BE0284EEF1B1}" xr6:coauthVersionLast="47" xr6:coauthVersionMax="47" xr10:uidLastSave="{00000000-0000-0000-0000-000000000000}"/>
  <bookViews>
    <workbookView xWindow="-108" yWindow="-108" windowWidth="23256" windowHeight="12456" firstSheet="1" activeTab="1" xr2:uid="{F37E53A4-F46B-46C1-A38A-F7FA9C6E77C2}"/>
  </bookViews>
  <sheets>
    <sheet name="PADS Overview" sheetId="3" r:id="rId1"/>
    <sheet name="PADS Template" sheetId="5" r:id="rId2"/>
    <sheet name="Guidelines"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9" i="5" l="1"/>
  <c r="AX13" i="5"/>
  <c r="AX14" i="5"/>
  <c r="G161" i="5"/>
  <c r="AV13" i="5"/>
  <c r="AV15" i="5"/>
  <c r="G149" i="5"/>
  <c r="AT12" i="5"/>
  <c r="D187" i="5"/>
  <c r="G124" i="5"/>
  <c r="AR12" i="5"/>
  <c r="D186" i="5"/>
  <c r="G102" i="5"/>
  <c r="AP12" i="5"/>
  <c r="D185" i="5"/>
  <c r="G59" i="5"/>
  <c r="AN12" i="5"/>
  <c r="D184" i="5"/>
  <c r="D190" i="5" s="1"/>
  <c r="D192" i="5" s="1"/>
  <c r="G179" i="5"/>
  <c r="AZ13" i="5"/>
  <c r="AX12" i="5"/>
  <c r="D189" i="5"/>
  <c r="AV12" i="5"/>
  <c r="D188" i="5"/>
  <c r="AX15" i="5"/>
  <c r="AZ15" i="5"/>
  <c r="AV14" i="5"/>
  <c r="AR13" i="5"/>
  <c r="AR14" i="5"/>
  <c r="AR15" i="5"/>
  <c r="AT14" i="5"/>
  <c r="AZ14" i="5"/>
  <c r="AZ12" i="5"/>
  <c r="D191" i="5"/>
  <c r="AT15" i="5"/>
  <c r="AT13" i="5"/>
  <c r="AP13" i="5"/>
  <c r="AP15" i="5"/>
  <c r="AP14" i="5"/>
  <c r="AN14" i="5"/>
  <c r="AN15" i="5"/>
  <c r="AN13" i="5"/>
</calcChain>
</file>

<file path=xl/sharedStrings.xml><?xml version="1.0" encoding="utf-8"?>
<sst xmlns="http://schemas.openxmlformats.org/spreadsheetml/2006/main" count="477" uniqueCount="354">
  <si>
    <t>KUMARAGURU COLLEGE OF TECHNOLOGY</t>
  </si>
  <si>
    <t>PADS ACADEMIC REVIEW - 2021</t>
  </si>
  <si>
    <t>Parameters</t>
  </si>
  <si>
    <t>Maximum Points Score admissible for every parameter</t>
  </si>
  <si>
    <t>Teaching &amp; Learning</t>
  </si>
  <si>
    <t>Research &amp; Development</t>
  </si>
  <si>
    <t>External Interface</t>
  </si>
  <si>
    <t>Operations</t>
  </si>
  <si>
    <t>Student  Development</t>
  </si>
  <si>
    <t xml:space="preserve">Extra &amp; Co-Curricular </t>
  </si>
  <si>
    <r>
      <rPr>
        <b/>
        <i/>
        <u/>
        <sz val="9"/>
        <color indexed="56"/>
        <rFont val="Calibri"/>
        <family val="2"/>
      </rPr>
      <t>OPTIONAL</t>
    </r>
    <r>
      <rPr>
        <b/>
        <i/>
        <sz val="9"/>
        <color indexed="56"/>
        <rFont val="Calibri"/>
        <family val="2"/>
      </rPr>
      <t>*</t>
    </r>
    <r>
      <rPr>
        <sz val="9"/>
        <color indexed="56"/>
        <rFont val="Calibri"/>
        <family val="2"/>
      </rPr>
      <t xml:space="preserve">
</t>
    </r>
    <r>
      <rPr>
        <sz val="8"/>
        <color indexed="56"/>
        <rFont val="Calibri"/>
        <family val="2"/>
      </rPr>
      <t>Institutional/ Department Contributions and Outcomes</t>
    </r>
  </si>
  <si>
    <t>Assistant Professor</t>
  </si>
  <si>
    <t>Associate Professor</t>
  </si>
  <si>
    <t>Professor</t>
  </si>
  <si>
    <t>Prof &amp; HOD / In charge</t>
  </si>
  <si>
    <r>
      <t xml:space="preserve">Maximum Score Cap: </t>
    </r>
    <r>
      <rPr>
        <b/>
        <sz val="10"/>
        <color indexed="56"/>
        <rFont val="Calibri"/>
        <family val="2"/>
      </rPr>
      <t>200</t>
    </r>
  </si>
  <si>
    <t>(* Record exemplary Institutional/Departmental contributions in the space provided. Please support with evidence. The scores will be finalized based on Panel review)</t>
  </si>
  <si>
    <r>
      <t xml:space="preserve">Before filling out the PADS template, kindly skim through the </t>
    </r>
    <r>
      <rPr>
        <b/>
        <i/>
        <sz val="11"/>
        <color indexed="52"/>
        <rFont val="Calibri"/>
        <family val="2"/>
      </rPr>
      <t>Reference Manual</t>
    </r>
    <r>
      <rPr>
        <b/>
        <i/>
        <sz val="11"/>
        <color indexed="9"/>
        <rFont val="Calibri"/>
        <family val="2"/>
      </rPr>
      <t xml:space="preserve"> provided, to understand and capture the details accordingly</t>
    </r>
  </si>
  <si>
    <t>Criteria mandatory for Assessment through PADS</t>
  </si>
  <si>
    <t>Either of the following criteria must have been fulfilled during the assessment period</t>
  </si>
  <si>
    <t>Criteria 1</t>
  </si>
  <si>
    <t>Asst. Prof 1: 1 Research paper - Scopus / Annexure-I journals (For S&amp;H - UGC listed journals)
All others: 1 Research paper - Scopus / Web of Science / SAE indexed journal</t>
  </si>
  <si>
    <t>Criteria 2</t>
  </si>
  <si>
    <t>7 days of FDP sponsored by AU / AICTE / Professional bodies (Certified Knowledge building equivalency for S&amp;H)</t>
  </si>
  <si>
    <t>Appraisee's Name</t>
  </si>
  <si>
    <t>Emp ID</t>
  </si>
  <si>
    <t>Department</t>
  </si>
  <si>
    <t>Designation</t>
  </si>
  <si>
    <t>Appraiser's Name</t>
  </si>
  <si>
    <t>PADS Academic Review - 2021</t>
  </si>
  <si>
    <t>KRA : TEACHING AND LEARNING</t>
  </si>
  <si>
    <t>DESCRIPTIVE ASSESSMENT</t>
  </si>
  <si>
    <t>TL</t>
  </si>
  <si>
    <t>Sl No</t>
  </si>
  <si>
    <t>KPI</t>
  </si>
  <si>
    <t>Criteria</t>
  </si>
  <si>
    <t>Max Points</t>
  </si>
  <si>
    <t>Self Score</t>
  </si>
  <si>
    <t>Supervisor Score</t>
  </si>
  <si>
    <t>SELF</t>
  </si>
  <si>
    <t>APPRAISER</t>
  </si>
  <si>
    <t>RD</t>
  </si>
  <si>
    <t>EI</t>
  </si>
  <si>
    <t>O</t>
  </si>
  <si>
    <t>SD</t>
  </si>
  <si>
    <t>EC</t>
  </si>
  <si>
    <t>ID</t>
  </si>
  <si>
    <t>Innovation and Up gradation</t>
  </si>
  <si>
    <t>Teaching Pedagogy &amp; Content Preparation</t>
  </si>
  <si>
    <t>&gt; 85 %</t>
  </si>
  <si>
    <t>Software Engineering,Big Data Analytics,Structured Programming using C,Data mining Techniques ,Structured Programming using C</t>
  </si>
  <si>
    <t>84 - 75 %</t>
  </si>
  <si>
    <t>74 - 65 %</t>
  </si>
  <si>
    <r>
      <t xml:space="preserve">Use of Technology, Material / Class note preparation (PPT), Innovative methods in delivery
</t>
    </r>
    <r>
      <rPr>
        <sz val="10"/>
        <color indexed="8"/>
        <rFont val="Calibri"/>
        <family val="2"/>
      </rPr>
      <t>(Scoring out of 100 %, based on notes, slides and other evidences)</t>
    </r>
  </si>
  <si>
    <t>360 Degree Feedback</t>
  </si>
  <si>
    <r>
      <rPr>
        <b/>
        <sz val="11"/>
        <color indexed="8"/>
        <rFont val="Calibri"/>
        <family val="2"/>
      </rPr>
      <t>HOD Feedback**</t>
    </r>
    <r>
      <rPr>
        <sz val="11"/>
        <color theme="1"/>
        <rFont val="Calibri"/>
        <family val="2"/>
        <scheme val="minor"/>
      </rPr>
      <t xml:space="preserve">
</t>
    </r>
    <r>
      <rPr>
        <sz val="10"/>
        <color indexed="8"/>
        <rFont val="Calibri"/>
        <family val="2"/>
      </rPr>
      <t>(Scoring out of 100 %)</t>
    </r>
  </si>
  <si>
    <r>
      <rPr>
        <b/>
        <sz val="11"/>
        <color indexed="8"/>
        <rFont val="Calibri"/>
        <family val="2"/>
      </rPr>
      <t>Student Feedback**</t>
    </r>
    <r>
      <rPr>
        <sz val="11"/>
        <color theme="1"/>
        <rFont val="Calibri"/>
        <family val="2"/>
        <scheme val="minor"/>
      </rPr>
      <t xml:space="preserve">
</t>
    </r>
    <r>
      <rPr>
        <sz val="10"/>
        <color indexed="8"/>
        <rFont val="Calibri"/>
        <family val="2"/>
      </rPr>
      <t>(Avg. of all subject, including practical taken by respective faculty; HOD to validate)</t>
    </r>
  </si>
  <si>
    <t>Academic Outcome</t>
  </si>
  <si>
    <r>
      <rPr>
        <b/>
        <sz val="11"/>
        <color indexed="8"/>
        <rFont val="Calibri"/>
        <family val="2"/>
      </rPr>
      <t xml:space="preserve">Activities for uplifting slow learners***
</t>
    </r>
    <r>
      <rPr>
        <sz val="10"/>
        <color indexed="8"/>
        <rFont val="Calibri"/>
        <family val="2"/>
      </rPr>
      <t>(Activity to be for full semester term)</t>
    </r>
    <r>
      <rPr>
        <sz val="11"/>
        <color theme="1"/>
        <rFont val="Calibri"/>
        <family val="2"/>
        <scheme val="minor"/>
      </rPr>
      <t xml:space="preserve">                            </t>
    </r>
  </si>
  <si>
    <r>
      <t xml:space="preserve">Each Activity - 4 Marks
</t>
    </r>
    <r>
      <rPr>
        <b/>
        <sz val="10"/>
        <color indexed="8"/>
        <rFont val="Calibri"/>
        <family val="2"/>
      </rPr>
      <t>(Max 2 activity allowed)</t>
    </r>
  </si>
  <si>
    <r>
      <rPr>
        <b/>
        <sz val="11"/>
        <color indexed="8"/>
        <rFont val="Calibri"/>
        <family val="2"/>
      </rPr>
      <t>Course result Outcome Aggregate</t>
    </r>
    <r>
      <rPr>
        <sz val="11"/>
        <color theme="1"/>
        <rFont val="Calibri"/>
        <family val="2"/>
        <scheme val="minor"/>
      </rPr>
      <t xml:space="preserve">
</t>
    </r>
    <r>
      <rPr>
        <sz val="10"/>
        <color indexed="8"/>
        <rFont val="Calibri"/>
        <family val="2"/>
      </rPr>
      <t>(2 and 1credit on primary course)
(Avg. of results for subjects taken by respective faculty)</t>
    </r>
  </si>
  <si>
    <t>&gt; 90%</t>
  </si>
  <si>
    <r>
      <rPr>
        <b/>
        <sz val="11"/>
        <color indexed="8"/>
        <rFont val="Calibri"/>
        <family val="2"/>
      </rPr>
      <t>Course result Outcome Aggregate</t>
    </r>
    <r>
      <rPr>
        <sz val="11"/>
        <color theme="1"/>
        <rFont val="Calibri"/>
        <family val="2"/>
        <scheme val="minor"/>
      </rPr>
      <t xml:space="preserve">
</t>
    </r>
    <r>
      <rPr>
        <sz val="10"/>
        <color indexed="8"/>
        <rFont val="Calibri"/>
        <family val="2"/>
      </rPr>
      <t>(4 credit (analytical) course)
(Avg.  of results for subjects taken by respective faculty)</t>
    </r>
  </si>
  <si>
    <t>&gt; 86%</t>
  </si>
  <si>
    <t>&gt; 75%</t>
  </si>
  <si>
    <t>&gt; 70%</t>
  </si>
  <si>
    <r>
      <rPr>
        <b/>
        <sz val="11"/>
        <color indexed="8"/>
        <rFont val="Calibri"/>
        <family val="2"/>
      </rPr>
      <t>Course result Outcome Aggregate</t>
    </r>
    <r>
      <rPr>
        <sz val="11"/>
        <color theme="1"/>
        <rFont val="Calibri"/>
        <family val="2"/>
        <scheme val="minor"/>
      </rPr>
      <t xml:space="preserve">
</t>
    </r>
    <r>
      <rPr>
        <sz val="10"/>
        <color indexed="8"/>
        <rFont val="Calibri"/>
        <family val="2"/>
      </rPr>
      <t>(3 credit (non-analytical course))
(Avg.  of results for subjects taken by respective faculty)</t>
    </r>
  </si>
  <si>
    <r>
      <t xml:space="preserve">Student course attendance **
</t>
    </r>
    <r>
      <rPr>
        <sz val="10"/>
        <color indexed="8"/>
        <rFont val="Calibri"/>
        <family val="2"/>
      </rPr>
      <t>(Avg. of all subjects taken by respective faculty)</t>
    </r>
  </si>
  <si>
    <t>&gt; 80%</t>
  </si>
  <si>
    <r>
      <rPr>
        <b/>
        <sz val="11"/>
        <color indexed="8"/>
        <rFont val="Calibri"/>
        <family val="2"/>
      </rPr>
      <t xml:space="preserve">Conducting professional courses and training program for students*** </t>
    </r>
    <r>
      <rPr>
        <sz val="11"/>
        <color indexed="8"/>
        <rFont val="Calibri"/>
        <family val="2"/>
      </rPr>
      <t xml:space="preserve">
</t>
    </r>
    <r>
      <rPr>
        <sz val="10"/>
        <color indexed="8"/>
        <rFont val="Calibri"/>
        <family val="2"/>
      </rPr>
      <t>(Placement training in core subjects, GATE training, aptitude training)</t>
    </r>
  </si>
  <si>
    <r>
      <t xml:space="preserve">Each Activity - 5 Marks
</t>
    </r>
    <r>
      <rPr>
        <b/>
        <sz val="10"/>
        <color indexed="8"/>
        <rFont val="Calibri"/>
        <family val="2"/>
      </rPr>
      <t>(Max 2 activity allowed)</t>
    </r>
  </si>
  <si>
    <t>Professional Advancement</t>
  </si>
  <si>
    <r>
      <t xml:space="preserve">Faculty Development Certification ++ (Attending)
</t>
    </r>
    <r>
      <rPr>
        <sz val="10"/>
        <color indexed="8"/>
        <rFont val="Calibri"/>
        <family val="2"/>
      </rPr>
      <t>(All program need certificate proof and completion of course during assessment tenure)</t>
    </r>
  </si>
  <si>
    <t xml:space="preserve">Each Online course (Min 8 hrs. Session)                        </t>
  </si>
  <si>
    <t>Each professional development course (&gt; 6 Months)</t>
  </si>
  <si>
    <t xml:space="preserve">Each Diploma course (&gt; 6 Months) </t>
  </si>
  <si>
    <t xml:space="preserve">PG Diploma course (Min 1 year)  </t>
  </si>
  <si>
    <t>Post Doc
(Max 3 courses allowed)</t>
  </si>
  <si>
    <r>
      <t xml:space="preserve">PhD Status**
</t>
    </r>
    <r>
      <rPr>
        <sz val="10"/>
        <color indexed="8"/>
        <rFont val="Calibri"/>
        <family val="2"/>
      </rPr>
      <t>(Completion of components during assessment tenure. 
Not registered status for &gt; 5 years in KCT employment, Negative 5 Marks)</t>
    </r>
  </si>
  <si>
    <t>PHD (4) with Guide ship (6) &amp; guiding students (4)</t>
  </si>
  <si>
    <t xml:space="preserve">Completed PHD  </t>
  </si>
  <si>
    <t xml:space="preserve">Submitted Thesis </t>
  </si>
  <si>
    <t xml:space="preserve">Submitted Synopsis  </t>
  </si>
  <si>
    <t>Personal Development</t>
  </si>
  <si>
    <r>
      <rPr>
        <b/>
        <sz val="11"/>
        <color indexed="8"/>
        <rFont val="Calibri"/>
        <family val="2"/>
      </rPr>
      <t>NET / SET Qualified**</t>
    </r>
    <r>
      <rPr>
        <sz val="11"/>
        <color indexed="8"/>
        <rFont val="Calibri"/>
        <family val="2"/>
      </rPr>
      <t xml:space="preserve">
</t>
    </r>
    <r>
      <rPr>
        <sz val="10"/>
        <color indexed="8"/>
        <rFont val="Calibri"/>
        <family val="2"/>
      </rPr>
      <t>(Completion of NET / SET status)
(Applicable for eligible dept. like S&amp;H, MBA,Biotech,MCA, etc.)</t>
    </r>
  </si>
  <si>
    <t xml:space="preserve">Completed NET                                                                      </t>
  </si>
  <si>
    <t xml:space="preserve">Completed SET   </t>
  </si>
  <si>
    <r>
      <rPr>
        <b/>
        <sz val="11"/>
        <color indexed="8"/>
        <rFont val="Calibri"/>
        <family val="2"/>
      </rPr>
      <t xml:space="preserve">Training Program hours / year - KLDA &amp; Others** </t>
    </r>
    <r>
      <rPr>
        <sz val="11"/>
        <color indexed="8"/>
        <rFont val="Calibri"/>
        <family val="2"/>
      </rPr>
      <t xml:space="preserve">
</t>
    </r>
    <r>
      <rPr>
        <sz val="10"/>
        <color indexed="8"/>
        <rFont val="Calibri"/>
        <family val="2"/>
      </rPr>
      <t>(Attendance proof is required)</t>
    </r>
  </si>
  <si>
    <t xml:space="preserve">&gt; 12 hr </t>
  </si>
  <si>
    <t>&gt; 8 hr</t>
  </si>
  <si>
    <t>&gt; 4 hr</t>
  </si>
  <si>
    <t>Aggregate Score - For 2020 - 21 - TL</t>
  </si>
  <si>
    <t>KRA : RESEARCH &amp; DEVELOPMENT</t>
  </si>
  <si>
    <t>Detail</t>
  </si>
  <si>
    <r>
      <t xml:space="preserve">Paper Publication Scopus / WOS / SAE*
</t>
    </r>
    <r>
      <rPr>
        <sz val="10"/>
        <color indexed="8"/>
        <rFont val="Calibri"/>
        <family val="2"/>
      </rPr>
      <t>(Author is awarded - 100% marks; Co- Author is awarded - 50% marks)</t>
    </r>
  </si>
  <si>
    <t>Each paper published in either Scopus/WOS Indexed journals</t>
  </si>
  <si>
    <t>BBRC,IJRET</t>
  </si>
  <si>
    <t>Each paper published in journals indexed in both Scopus and WOS</t>
  </si>
  <si>
    <r>
      <t xml:space="preserve">Paper Publication Others (ICI / UGC Listed &amp;                 Annex - 1 Journals only)*
</t>
    </r>
    <r>
      <rPr>
        <sz val="10"/>
        <color indexed="8"/>
        <rFont val="Calibri"/>
        <family val="2"/>
      </rPr>
      <t>For English Dept;</t>
    </r>
    <r>
      <rPr>
        <b/>
        <sz val="11"/>
        <color indexed="8"/>
        <rFont val="Calibri"/>
        <family val="2"/>
      </rPr>
      <t xml:space="preserve"> </t>
    </r>
    <r>
      <rPr>
        <sz val="10"/>
        <color indexed="8"/>
        <rFont val="Calibri"/>
        <family val="2"/>
      </rPr>
      <t xml:space="preserve">(Author is awarded - 100% marks; Co- Author is awarded - 50% marks) </t>
    </r>
  </si>
  <si>
    <r>
      <t xml:space="preserve">Each Paper - 6 Marks                                                
</t>
    </r>
    <r>
      <rPr>
        <b/>
        <sz val="10"/>
        <color indexed="8"/>
        <rFont val="Calibri"/>
        <family val="2"/>
      </rPr>
      <t>(Max 3 papers allowed)</t>
    </r>
    <r>
      <rPr>
        <sz val="10"/>
        <color indexed="8"/>
        <rFont val="Calibri"/>
        <family val="2"/>
      </rPr>
      <t xml:space="preserve">
For English Dept. from 2nd paper onwards</t>
    </r>
  </si>
  <si>
    <r>
      <t xml:space="preserve">Book or Chapter publishing in ISBN listed
</t>
    </r>
    <r>
      <rPr>
        <sz val="10"/>
        <color indexed="8"/>
        <rFont val="Calibri"/>
        <family val="2"/>
      </rPr>
      <t>(Author is awarded - 100% marks; Co- Author is awarded - 50% marks)</t>
    </r>
  </si>
  <si>
    <t>1 Book</t>
  </si>
  <si>
    <t>&gt; 2 Chapters</t>
  </si>
  <si>
    <t xml:space="preserve">1 Chapter </t>
  </si>
  <si>
    <t>Conference paper presentation outside India by faculty</t>
  </si>
  <si>
    <r>
      <t xml:space="preserve">Each Paper                                                                             
</t>
    </r>
    <r>
      <rPr>
        <b/>
        <sz val="10"/>
        <color indexed="8"/>
        <rFont val="Calibri"/>
        <family val="2"/>
      </rPr>
      <t>(Max 1 paper allowed)</t>
    </r>
  </si>
  <si>
    <t>Student Enhancement</t>
  </si>
  <si>
    <r>
      <t>Guiding student in Scopus / WOS Journal publication**</t>
    </r>
    <r>
      <rPr>
        <sz val="11"/>
        <color indexed="8"/>
        <rFont val="Calibri"/>
        <family val="2"/>
      </rPr>
      <t xml:space="preserve">
</t>
    </r>
    <r>
      <rPr>
        <sz val="10"/>
        <color indexed="8"/>
        <rFont val="Calibri"/>
        <family val="2"/>
      </rPr>
      <t>(Document proof required. Faculty must be one of the co-author)</t>
    </r>
  </si>
  <si>
    <r>
      <t xml:space="preserve">Each Paper
</t>
    </r>
    <r>
      <rPr>
        <b/>
        <sz val="10"/>
        <color indexed="8"/>
        <rFont val="Calibri"/>
        <family val="2"/>
      </rPr>
      <t xml:space="preserve">(Max 1 paper allowed)  </t>
    </r>
    <r>
      <rPr>
        <sz val="10"/>
        <color indexed="8"/>
        <rFont val="Calibri"/>
        <family val="2"/>
      </rPr>
      <t xml:space="preserve">                                    </t>
    </r>
  </si>
  <si>
    <t>Institutional Impact</t>
  </si>
  <si>
    <r>
      <t xml:space="preserve">Funded Project Submission &amp; Presentation </t>
    </r>
    <r>
      <rPr>
        <sz val="10"/>
        <rFont val="Calibri"/>
        <family val="2"/>
      </rPr>
      <t xml:space="preserve">(under review) </t>
    </r>
    <r>
      <rPr>
        <b/>
        <sz val="11"/>
        <rFont val="Calibri"/>
        <family val="2"/>
      </rPr>
      <t>+</t>
    </r>
    <r>
      <rPr>
        <sz val="11"/>
        <rFont val="Calibri"/>
        <family val="2"/>
      </rPr>
      <t xml:space="preserve">
</t>
    </r>
    <r>
      <rPr>
        <sz val="10"/>
        <rFont val="Calibri"/>
        <family val="2"/>
      </rPr>
      <t xml:space="preserve">(Document proof required) </t>
    </r>
  </si>
  <si>
    <r>
      <t xml:space="preserve">Each Project submitted - 6 Marks
If called for presentation - additional 4 Marks
</t>
    </r>
    <r>
      <rPr>
        <b/>
        <sz val="10"/>
        <rFont val="Calibri"/>
        <family val="2"/>
      </rPr>
      <t>(Max 4 Projects allowed)</t>
    </r>
  </si>
  <si>
    <r>
      <t xml:space="preserve">Externally Funded Project
</t>
    </r>
    <r>
      <rPr>
        <sz val="10"/>
        <rFont val="Calibri"/>
        <family val="2"/>
      </rPr>
      <t>(From Govt agencies, Accredited bodies)</t>
    </r>
  </si>
  <si>
    <t xml:space="preserve">Rs 10,000 - 1 Lakh                                                                                    </t>
  </si>
  <si>
    <t xml:space="preserve">1 Lakh – 2 Lakh                                                                       </t>
  </si>
  <si>
    <t xml:space="preserve">2 Lakh – 5 Lakh                                                                      </t>
  </si>
  <si>
    <t xml:space="preserve">5 Lakh – 15 Lakh                                                                   </t>
  </si>
  <si>
    <t>&gt; 15 Lakh                                                                                
(Every 10 Lakh addition will get 8 Marks)</t>
  </si>
  <si>
    <t>Patent</t>
  </si>
  <si>
    <t>Licensed</t>
  </si>
  <si>
    <t>Granted</t>
  </si>
  <si>
    <t>Published</t>
  </si>
  <si>
    <t>Filed</t>
  </si>
  <si>
    <t>Increase in h index during the tenure</t>
  </si>
  <si>
    <t>&gt; 2</t>
  </si>
  <si>
    <t>Increase of citation during the tenure</t>
  </si>
  <si>
    <t>&gt; 5</t>
  </si>
  <si>
    <t>3--4</t>
  </si>
  <si>
    <t>Conference Paper Presentation at IIT / IISC / NIT / Above KCT by faculty</t>
  </si>
  <si>
    <r>
      <t xml:space="preserve">Each Paper
(Max 1 Paper allowed)
Institutions above KCT - NIRF'18 Ranking 1 – 70
For S&amp;H, Arts College NIRF'18 Ranking </t>
    </r>
    <r>
      <rPr>
        <sz val="8"/>
        <color indexed="8"/>
        <rFont val="Calibri"/>
        <family val="2"/>
      </rPr>
      <t>1 – 50</t>
    </r>
  </si>
  <si>
    <t>Conference Paper &amp; Extended Scopus /  WOS / SAE publication (Combined)** by faculty</t>
  </si>
  <si>
    <t xml:space="preserve">Each Paper                                                                            </t>
  </si>
  <si>
    <r>
      <rPr>
        <b/>
        <sz val="11"/>
        <color indexed="8"/>
        <rFont val="Calibri"/>
        <family val="2"/>
      </rPr>
      <t>Product development of commercial nature</t>
    </r>
    <r>
      <rPr>
        <sz val="11"/>
        <color indexed="8"/>
        <rFont val="Calibri"/>
        <family val="2"/>
      </rPr>
      <t xml:space="preserve">
</t>
    </r>
    <r>
      <rPr>
        <sz val="10"/>
        <color indexed="8"/>
        <rFont val="Calibri"/>
        <family val="2"/>
      </rPr>
      <t>(In-process needs evidence)</t>
    </r>
  </si>
  <si>
    <t>Commercialized</t>
  </si>
  <si>
    <t>Developed</t>
  </si>
  <si>
    <t>In- Process</t>
  </si>
  <si>
    <r>
      <rPr>
        <b/>
        <sz val="11"/>
        <color indexed="8"/>
        <rFont val="Calibri"/>
        <family val="2"/>
      </rPr>
      <t>Product development from student projects</t>
    </r>
    <r>
      <rPr>
        <sz val="11"/>
        <color indexed="8"/>
        <rFont val="Calibri"/>
        <family val="2"/>
      </rPr>
      <t xml:space="preserve">
</t>
    </r>
    <r>
      <rPr>
        <sz val="10"/>
        <color indexed="8"/>
        <rFont val="Calibri"/>
        <family val="2"/>
      </rPr>
      <t>(In-process needs evidence)</t>
    </r>
  </si>
  <si>
    <t>Facilitation of student involvement in RIG</t>
  </si>
  <si>
    <t>For every 5 Students
(Max 10 students allowed)</t>
  </si>
  <si>
    <t>Facilitation of student involvement in Forge</t>
  </si>
  <si>
    <t>Aggregate Score - For 2020 - 21 - RD</t>
  </si>
  <si>
    <t>KRA : EXTERNAL INTERFACE</t>
  </si>
  <si>
    <r>
      <t xml:space="preserve">Industrial / Research - Consultancy &amp; Training (Financial)
</t>
    </r>
    <r>
      <rPr>
        <sz val="10"/>
        <color indexed="8"/>
        <rFont val="Calibri"/>
        <family val="2"/>
      </rPr>
      <t>(Applicable only  for Faculty who is primary coordinator)</t>
    </r>
  </si>
  <si>
    <t>&lt; 1 Lakh</t>
  </si>
  <si>
    <t>AICTE UHV,Seven Days FDP</t>
  </si>
  <si>
    <t>&lt; 4 Lakh</t>
  </si>
  <si>
    <t>&gt; 4 Lakh</t>
  </si>
  <si>
    <r>
      <t>FDP Participation</t>
    </r>
    <r>
      <rPr>
        <b/>
        <sz val="10"/>
        <color indexed="8"/>
        <rFont val="Calibri"/>
        <family val="2"/>
      </rPr>
      <t xml:space="preserve"> </t>
    </r>
    <r>
      <rPr>
        <sz val="10"/>
        <color indexed="8"/>
        <rFont val="Calibri"/>
        <family val="2"/>
      </rPr>
      <t>(Strictly more than or equal to 7 days)</t>
    </r>
    <r>
      <rPr>
        <sz val="11"/>
        <color indexed="8"/>
        <rFont val="Calibri"/>
        <family val="2"/>
      </rPr>
      <t xml:space="preserve"> </t>
    </r>
    <r>
      <rPr>
        <b/>
        <sz val="11"/>
        <color indexed="8"/>
        <rFont val="Calibri"/>
        <family val="2"/>
      </rPr>
      <t>with the coordinating institution level  above KC</t>
    </r>
    <r>
      <rPr>
        <sz val="11"/>
        <color indexed="8"/>
        <rFont val="Calibri"/>
        <family val="2"/>
      </rPr>
      <t xml:space="preserve">T </t>
    </r>
  </si>
  <si>
    <r>
      <t xml:space="preserve">Each FDP - 12 Marks
</t>
    </r>
    <r>
      <rPr>
        <b/>
        <sz val="10"/>
        <color indexed="8"/>
        <rFont val="Calibri"/>
        <family val="2"/>
      </rPr>
      <t>(Max 2 FDPs allowed)</t>
    </r>
    <r>
      <rPr>
        <sz val="10"/>
        <color indexed="8"/>
        <rFont val="Calibri"/>
        <family val="2"/>
      </rPr>
      <t xml:space="preserve">
Coordinating Institute above KCT  -  NIRF’18 Ranking 1 – 70</t>
    </r>
  </si>
  <si>
    <r>
      <t xml:space="preserve">MOU Signed with University / Professional body / Industry for exchange, research and others
</t>
    </r>
    <r>
      <rPr>
        <sz val="10"/>
        <rFont val="Calibri"/>
        <family val="2"/>
      </rPr>
      <t>(Applicable only  for Faculty who is primary coordinator and it is with the approval of institution)</t>
    </r>
  </si>
  <si>
    <r>
      <t xml:space="preserve">Each MoU - 10 Marks
</t>
    </r>
    <r>
      <rPr>
        <b/>
        <sz val="10"/>
        <rFont val="Calibri"/>
        <family val="2"/>
      </rPr>
      <t>(Max 2 MoU allowed)</t>
    </r>
  </si>
  <si>
    <r>
      <t>Industrial / Research Consultancy &amp; Training (Institutional Branding)</t>
    </r>
    <r>
      <rPr>
        <sz val="11"/>
        <color indexed="8"/>
        <rFont val="Calibri"/>
        <family val="2"/>
      </rPr>
      <t xml:space="preserve">
</t>
    </r>
    <r>
      <rPr>
        <sz val="10"/>
        <color indexed="8"/>
        <rFont val="Calibri"/>
        <family val="2"/>
      </rPr>
      <t>(Applicable only for Faculty who is primary coordinator)</t>
    </r>
  </si>
  <si>
    <r>
      <t xml:space="preserve">Each Work - 2 Marks
</t>
    </r>
    <r>
      <rPr>
        <b/>
        <sz val="10"/>
        <color indexed="8"/>
        <rFont val="Calibri"/>
        <family val="2"/>
      </rPr>
      <t>(Max 2 works allowed)</t>
    </r>
  </si>
  <si>
    <r>
      <t xml:space="preserve">Sabbatical program for industrial linkage or knowledge enhancement, greater than or equal to one Month ** </t>
    </r>
    <r>
      <rPr>
        <sz val="11"/>
        <color indexed="8"/>
        <rFont val="Calibri"/>
        <family val="2"/>
      </rPr>
      <t xml:space="preserve">
</t>
    </r>
    <r>
      <rPr>
        <sz val="10"/>
        <color indexed="8"/>
        <rFont val="Calibri"/>
        <family val="2"/>
      </rPr>
      <t>(Salary for the period borne by the industry)</t>
    </r>
  </si>
  <si>
    <r>
      <t xml:space="preserve">Each Program
</t>
    </r>
    <r>
      <rPr>
        <b/>
        <sz val="10"/>
        <color indexed="8"/>
        <rFont val="Calibri"/>
        <family val="2"/>
      </rPr>
      <t>(Max 1 Program allowed)</t>
    </r>
  </si>
  <si>
    <r>
      <t>International Award from Registered professional body**</t>
    </r>
    <r>
      <rPr>
        <sz val="11"/>
        <color indexed="8"/>
        <rFont val="Calibri"/>
        <family val="2"/>
      </rPr>
      <t xml:space="preserve">
</t>
    </r>
    <r>
      <rPr>
        <sz val="10"/>
        <color indexed="8"/>
        <rFont val="Calibri"/>
        <family val="2"/>
      </rPr>
      <t>(Award received during the assessment tenure)</t>
    </r>
  </si>
  <si>
    <r>
      <t xml:space="preserve">Each award - 6 Marks
</t>
    </r>
    <r>
      <rPr>
        <b/>
        <sz val="10"/>
        <color indexed="8"/>
        <rFont val="Calibri"/>
        <family val="2"/>
      </rPr>
      <t>(Max 2 awards allowed)</t>
    </r>
  </si>
  <si>
    <r>
      <t>National / State Award from Registered professional body **</t>
    </r>
    <r>
      <rPr>
        <sz val="11"/>
        <color indexed="8"/>
        <rFont val="Calibri"/>
        <family val="2"/>
      </rPr>
      <t xml:space="preserve">
</t>
    </r>
    <r>
      <rPr>
        <sz val="10"/>
        <color indexed="8"/>
        <rFont val="Calibri"/>
        <family val="2"/>
      </rPr>
      <t>(Award received during the assessment tenure)</t>
    </r>
  </si>
  <si>
    <r>
      <t xml:space="preserve">Each award- 3 Marks
</t>
    </r>
    <r>
      <rPr>
        <b/>
        <sz val="10"/>
        <color indexed="8"/>
        <rFont val="Calibri"/>
        <family val="2"/>
      </rPr>
      <t>(Max 2 awards allowed)</t>
    </r>
  </si>
  <si>
    <t>Editorial board Member of Scopus / WOS  Indexed International Journal**</t>
  </si>
  <si>
    <t>Irrespective of number</t>
  </si>
  <si>
    <t>Reviewer for Scopus / WOS Indexed International Journal**</t>
  </si>
  <si>
    <t>Editor or reviewer for other International Journal/ National CSIR Journals**</t>
  </si>
  <si>
    <r>
      <t>NGO Collaboration</t>
    </r>
    <r>
      <rPr>
        <sz val="11"/>
        <color indexed="8"/>
        <rFont val="Calibri"/>
        <family val="2"/>
      </rPr>
      <t xml:space="preserve"> 
</t>
    </r>
    <r>
      <rPr>
        <sz val="10"/>
        <color indexed="8"/>
        <rFont val="Calibri"/>
        <family val="2"/>
      </rPr>
      <t xml:space="preserve">(Applicable only for Faculty who is primary coordinator. NGO must be  registered and on societal development) </t>
    </r>
  </si>
  <si>
    <r>
      <t xml:space="preserve">For each collaboration - 5 Marks
</t>
    </r>
    <r>
      <rPr>
        <b/>
        <sz val="10"/>
        <color indexed="8"/>
        <rFont val="Calibri"/>
        <family val="2"/>
      </rPr>
      <t>(Max 2 NGO's allowed)</t>
    </r>
  </si>
  <si>
    <t>Aggregate Score - For 2020 - 21 - EI</t>
  </si>
  <si>
    <t>KRA : OPERATIONS</t>
  </si>
  <si>
    <t>Institutional responsibility of heading independent body for performance improvement ***</t>
  </si>
  <si>
    <r>
      <t xml:space="preserve">Each responsibility - 15 Marks
</t>
    </r>
    <r>
      <rPr>
        <b/>
        <sz val="10"/>
        <rFont val="Calibri"/>
        <family val="2"/>
      </rPr>
      <t>(Max 2 responsibilities allowed)</t>
    </r>
  </si>
  <si>
    <t>NIRF-Academic perception,Implementation of MS Teams,,Innovation Practicum(Committe Member), BBRC Conference,Mock interview(2),Seminar RNN,Alumni Talk-Baskaran</t>
  </si>
  <si>
    <t>Institutional responsibility of heading or involvement in ranking / accreditation / others of highest institutional importance ***</t>
  </si>
  <si>
    <r>
      <t xml:space="preserve">Each responsibility - 10 Marks
</t>
    </r>
    <r>
      <rPr>
        <b/>
        <sz val="10"/>
        <rFont val="Calibri"/>
        <family val="2"/>
      </rPr>
      <t xml:space="preserve">(Max 3 responsibilities allowed)
</t>
    </r>
    <r>
      <rPr>
        <sz val="10"/>
        <rFont val="Calibri"/>
        <family val="2"/>
      </rPr>
      <t xml:space="preserve">Primary Member- 100 % Marks
Committee Member - 30 % Marks
</t>
    </r>
    <r>
      <rPr>
        <b/>
        <sz val="10"/>
        <rFont val="Calibri"/>
        <family val="2"/>
      </rPr>
      <t>(Max 2 members)</t>
    </r>
  </si>
  <si>
    <r>
      <t xml:space="preserve">Organizing Conference with external attendees @
</t>
    </r>
    <r>
      <rPr>
        <sz val="10"/>
        <rFont val="Calibri"/>
        <family val="2"/>
      </rPr>
      <t>(Main Organizer - 100% of Marks; Team Members - 50% of Marks)</t>
    </r>
  </si>
  <si>
    <t>&lt; 50 attendees</t>
  </si>
  <si>
    <t>50-200 attendees</t>
  </si>
  <si>
    <r>
      <rPr>
        <sz val="10"/>
        <rFont val="Calibri"/>
        <family val="2"/>
      </rPr>
      <t xml:space="preserve">&gt;200 attendees 
</t>
    </r>
    <r>
      <rPr>
        <b/>
        <sz val="10"/>
        <rFont val="Calibri"/>
        <family val="2"/>
      </rPr>
      <t>(Max 2 conferences allowed)</t>
    </r>
  </si>
  <si>
    <r>
      <t xml:space="preserve">Organizing AICTE/Externally sponsored FDP @
</t>
    </r>
    <r>
      <rPr>
        <sz val="10"/>
        <rFont val="Calibri"/>
        <family val="2"/>
      </rPr>
      <t>(Main Organizer - 100% of Marks; Team Members - 50% of Marks)</t>
    </r>
    <r>
      <rPr>
        <b/>
        <sz val="11"/>
        <rFont val="Calibri"/>
        <family val="2"/>
      </rPr>
      <t xml:space="preserve">
</t>
    </r>
    <r>
      <rPr>
        <sz val="10"/>
        <rFont val="Calibri"/>
        <family val="2"/>
      </rPr>
      <t>(Minimum 40 external attendees)</t>
    </r>
  </si>
  <si>
    <t>Funding &lt; 5 Lakh</t>
  </si>
  <si>
    <t>Funding  &gt; 5 Lakh</t>
  </si>
  <si>
    <r>
      <t xml:space="preserve">Organizing Workshop / Seminar @
</t>
    </r>
    <r>
      <rPr>
        <sz val="10"/>
        <color indexed="8"/>
        <rFont val="Calibri"/>
        <family val="2"/>
      </rPr>
      <t>(Main Organizer - 100% of Marks; Team Members - 50% of Marks)</t>
    </r>
  </si>
  <si>
    <t>&gt;200 attendees 
(Max 2 workshops allowed)</t>
  </si>
  <si>
    <r>
      <rPr>
        <b/>
        <sz val="11"/>
        <color indexed="8"/>
        <rFont val="Calibri"/>
        <family val="2"/>
      </rPr>
      <t>Working with Alumni Entrepreneurs on research or consultancy on revenue sharing model only ***</t>
    </r>
    <r>
      <rPr>
        <sz val="11"/>
        <color indexed="8"/>
        <rFont val="Calibri"/>
        <family val="2"/>
      </rPr>
      <t xml:space="preserve">
</t>
    </r>
    <r>
      <rPr>
        <sz val="10"/>
        <color indexed="8"/>
        <rFont val="Calibri"/>
        <family val="2"/>
      </rPr>
      <t>(Applicable only  for Faculty who is primary coordinator)</t>
    </r>
  </si>
  <si>
    <r>
      <t xml:space="preserve">Each project - 10 Marks
</t>
    </r>
    <r>
      <rPr>
        <b/>
        <sz val="10"/>
        <color indexed="8"/>
        <rFont val="Calibri"/>
        <family val="2"/>
      </rPr>
      <t xml:space="preserve">(Max 2 projects allowed)
</t>
    </r>
    <r>
      <rPr>
        <sz val="10"/>
        <color indexed="8"/>
        <rFont val="Calibri"/>
        <family val="2"/>
      </rPr>
      <t>Revenue Generation &gt; Rs 25,000 only</t>
    </r>
  </si>
  <si>
    <r>
      <rPr>
        <b/>
        <sz val="11"/>
        <color indexed="8"/>
        <rFont val="Calibri"/>
        <family val="2"/>
      </rPr>
      <t>Expert for general outreach programs in schools etc.</t>
    </r>
    <r>
      <rPr>
        <sz val="11"/>
        <color indexed="8"/>
        <rFont val="Calibri"/>
        <family val="2"/>
      </rPr>
      <t xml:space="preserve">
</t>
    </r>
    <r>
      <rPr>
        <sz val="10"/>
        <color indexed="8"/>
        <rFont val="Calibri"/>
        <family val="2"/>
      </rPr>
      <t>(Mass programs with attendees above 50 and also with KCT branding only)</t>
    </r>
  </si>
  <si>
    <t>&gt;200 attendees 
(Max 2 programs allowed)</t>
  </si>
  <si>
    <r>
      <rPr>
        <b/>
        <sz val="11"/>
        <color indexed="8"/>
        <rFont val="Calibri"/>
        <family val="2"/>
      </rPr>
      <t>Professional External audit member</t>
    </r>
    <r>
      <rPr>
        <sz val="11"/>
        <color indexed="8"/>
        <rFont val="Calibri"/>
        <family val="2"/>
      </rPr>
      <t xml:space="preserve">
</t>
    </r>
    <r>
      <rPr>
        <sz val="10"/>
        <color indexed="8"/>
        <rFont val="Calibri"/>
        <family val="2"/>
      </rPr>
      <t>(For Registered accreditation bodies)</t>
    </r>
  </si>
  <si>
    <r>
      <t xml:space="preserve">Every 1 audit completed - 14 Marks
</t>
    </r>
    <r>
      <rPr>
        <b/>
        <sz val="10"/>
        <color indexed="8"/>
        <rFont val="Calibri"/>
        <family val="2"/>
      </rPr>
      <t>(Max 2 audits allowed)</t>
    </r>
  </si>
  <si>
    <r>
      <rPr>
        <b/>
        <sz val="11"/>
        <color indexed="8"/>
        <rFont val="Calibri"/>
        <family val="2"/>
      </rPr>
      <t>Blogs on education system and subject expertise**</t>
    </r>
    <r>
      <rPr>
        <sz val="11"/>
        <color indexed="8"/>
        <rFont val="Calibri"/>
        <family val="2"/>
      </rPr>
      <t xml:space="preserve">
</t>
    </r>
    <r>
      <rPr>
        <sz val="10"/>
        <color indexed="8"/>
        <rFont val="Calibri"/>
        <family val="2"/>
      </rPr>
      <t>(Total visitor to the blog during the tenure must be &gt;150)</t>
    </r>
  </si>
  <si>
    <r>
      <t xml:space="preserve">Each blog - 3 Marks
</t>
    </r>
    <r>
      <rPr>
        <b/>
        <sz val="10"/>
        <color indexed="8"/>
        <rFont val="Calibri"/>
        <family val="2"/>
      </rPr>
      <t>(Max 2 blogs allowed)</t>
    </r>
  </si>
  <si>
    <r>
      <rPr>
        <b/>
        <sz val="11"/>
        <color indexed="8"/>
        <rFont val="Calibri"/>
        <family val="2"/>
      </rPr>
      <t>Going as External expert or guest lecture (Above KCT Ranking)**</t>
    </r>
    <r>
      <rPr>
        <sz val="11"/>
        <color indexed="8"/>
        <rFont val="Calibri"/>
        <family val="2"/>
      </rPr>
      <t xml:space="preserve">
</t>
    </r>
    <r>
      <rPr>
        <sz val="10"/>
        <color indexed="8"/>
        <rFont val="Calibri"/>
        <family val="2"/>
      </rPr>
      <t>(Under the criteria of knowledge sharing only)</t>
    </r>
  </si>
  <si>
    <t>Each Visit - 10 Marks
(Max 3 visits allowed)
Lecturing – 85 % Marks
Academic Council – 90 % Marks
Board of Studies Member – 100 % Marks
Above KCT - NIRF'18 Ranking 1-70 -100 % Marks
For S &amp; H, Arts College NIRF'18 Ranking 1 - 50  -      75 % Marks</t>
  </si>
  <si>
    <t>Aggregate Score - For 2020 - 21 - O</t>
  </si>
  <si>
    <t>KRA : STUDENT DEVELOPMENT</t>
  </si>
  <si>
    <r>
      <t xml:space="preserve">Organizing local visits for students
</t>
    </r>
    <r>
      <rPr>
        <sz val="10"/>
        <color indexed="8"/>
        <rFont val="Calibri"/>
        <family val="2"/>
      </rPr>
      <t>(Applicable only  for Faculty who is primary coordinator, need approved letter from Industry) ***</t>
    </r>
  </si>
  <si>
    <r>
      <t xml:space="preserve">Each LV - 3 Marks
</t>
    </r>
    <r>
      <rPr>
        <b/>
        <sz val="10"/>
        <color indexed="8"/>
        <rFont val="Calibri"/>
        <family val="2"/>
      </rPr>
      <t>(Max 2 LVs allowed)</t>
    </r>
  </si>
  <si>
    <t>Placing student in Core industry (only) ***</t>
  </si>
  <si>
    <r>
      <t xml:space="preserve">For every student placed - 8 Marks
</t>
    </r>
    <r>
      <rPr>
        <b/>
        <sz val="10"/>
        <color indexed="8"/>
        <rFont val="Calibri"/>
        <family val="2"/>
      </rPr>
      <t>(Max 3 students allowed)</t>
    </r>
  </si>
  <si>
    <t>Referred Internship***</t>
  </si>
  <si>
    <r>
      <t xml:space="preserve">Every 1 student - 4 Marks
</t>
    </r>
    <r>
      <rPr>
        <b/>
        <sz val="10"/>
        <color indexed="8"/>
        <rFont val="Calibri"/>
        <family val="2"/>
      </rPr>
      <t>(Max 3 students allowed)</t>
    </r>
  </si>
  <si>
    <r>
      <t xml:space="preserve">Student research development
</t>
    </r>
    <r>
      <rPr>
        <sz val="10"/>
        <color indexed="8"/>
        <rFont val="Calibri"/>
        <family val="2"/>
      </rPr>
      <t>(Applicable only for Faculty who is primary coordinator, responsible in organizing / training research skill for student.) ***</t>
    </r>
  </si>
  <si>
    <r>
      <t xml:space="preserve">Each activity - 3 Marks
</t>
    </r>
    <r>
      <rPr>
        <b/>
        <sz val="10"/>
        <color indexed="8"/>
        <rFont val="Calibri"/>
        <family val="2"/>
      </rPr>
      <t>(Max 2 activities allowed)</t>
    </r>
  </si>
  <si>
    <r>
      <t xml:space="preserve">Student Mentoring
</t>
    </r>
    <r>
      <rPr>
        <sz val="10"/>
        <color indexed="8"/>
        <rFont val="Calibri"/>
        <family val="2"/>
      </rPr>
      <t>(Proper documentation of records including reports &amp; pictures of group mentoring sessions, records of individual mentoring sessions, sessions handled apart from the mentoring hours ) ***</t>
    </r>
  </si>
  <si>
    <r>
      <t xml:space="preserve">Each session - 4 marks 
</t>
    </r>
    <r>
      <rPr>
        <b/>
        <sz val="10"/>
        <rFont val="Calibri"/>
        <family val="2"/>
      </rPr>
      <t>(Max 2 activities allowed)</t>
    </r>
  </si>
  <si>
    <r>
      <rPr>
        <b/>
        <sz val="11"/>
        <color indexed="8"/>
        <rFont val="Calibri"/>
        <family val="2"/>
      </rPr>
      <t>Leadership &amp; Skill development programs</t>
    </r>
    <r>
      <rPr>
        <sz val="11"/>
        <color indexed="8"/>
        <rFont val="Calibri"/>
        <family val="2"/>
      </rPr>
      <t xml:space="preserve">
</t>
    </r>
    <r>
      <rPr>
        <sz val="10"/>
        <color indexed="8"/>
        <rFont val="Calibri"/>
        <family val="2"/>
      </rPr>
      <t>(Applicable only for Faculty who is primary coordinator, responsible in organizing or program for students skill development and enhancing their leadership) ***</t>
    </r>
  </si>
  <si>
    <t>Aggregate Score - For 2020 - 21 - SD</t>
  </si>
  <si>
    <t>KRA : EXTRA &amp; CO - CURRICULAR SUPPORT</t>
  </si>
  <si>
    <r>
      <t xml:space="preserve">Student Accomplishments in Co-Curricular activities
</t>
    </r>
    <r>
      <rPr>
        <sz val="10"/>
        <color indexed="8"/>
        <rFont val="Calibri"/>
        <family val="2"/>
      </rPr>
      <t>(Applicable only for Faculty who is primary coordinator, responsible in motivating, making him / her participating in co-curricular activities and winning prizes at national / international level) ***</t>
    </r>
  </si>
  <si>
    <r>
      <t xml:space="preserve">For every 3 Students - 5 Marks
</t>
    </r>
    <r>
      <rPr>
        <b/>
        <sz val="10"/>
        <color indexed="8"/>
        <rFont val="Calibri"/>
        <family val="2"/>
      </rPr>
      <t xml:space="preserve">(Max 2 activities allowed)
</t>
    </r>
    <r>
      <rPr>
        <sz val="10"/>
        <color indexed="8"/>
        <rFont val="Calibri"/>
        <family val="2"/>
      </rPr>
      <t>(Technical Programs, Hackathons, or Conference, Symposiums)</t>
    </r>
  </si>
  <si>
    <t>Symposium presentation</t>
  </si>
  <si>
    <r>
      <rPr>
        <b/>
        <sz val="11"/>
        <color indexed="8"/>
        <rFont val="Calibri"/>
        <family val="2"/>
      </rPr>
      <t>Student Accomplishments in Extra - Curricular activities</t>
    </r>
    <r>
      <rPr>
        <sz val="11"/>
        <color indexed="8"/>
        <rFont val="Calibri"/>
        <family val="2"/>
      </rPr>
      <t xml:space="preserve">
</t>
    </r>
    <r>
      <rPr>
        <sz val="10"/>
        <color indexed="8"/>
        <rFont val="Calibri"/>
        <family val="2"/>
      </rPr>
      <t>(Applicable only for Faculty who is primary coordinator, responsible in motivating, make him / her participating in extra-curricular activities and showing visible results, winning prizes at national / International level) ***</t>
    </r>
  </si>
  <si>
    <r>
      <t xml:space="preserve">For every 3 Students - 4 Marks
</t>
    </r>
    <r>
      <rPr>
        <b/>
        <sz val="10"/>
        <color indexed="8"/>
        <rFont val="Calibri"/>
        <family val="2"/>
      </rPr>
      <t xml:space="preserve">(Max 2 activities allowed)
</t>
    </r>
    <r>
      <rPr>
        <sz val="10"/>
        <color indexed="8"/>
        <rFont val="Calibri"/>
        <family val="2"/>
      </rPr>
      <t>(Sports, Clubs &amp; Forums)</t>
    </r>
  </si>
  <si>
    <t>Aggregate Score - For 2020 - 21 - EC</t>
  </si>
  <si>
    <t>KRA : INSTITUTIONAL OR DEPARTMENTAL CONTRIBUTIONS AND OUTCOMES</t>
  </si>
  <si>
    <t>Supervisor Scoring
(on 5 pt. scale)</t>
  </si>
  <si>
    <t>BOS coordinator/Placement Coordinator</t>
  </si>
  <si>
    <t>NAAC criteria I Coordinator</t>
  </si>
  <si>
    <t xml:space="preserve"> MS Team Coordinator</t>
  </si>
  <si>
    <t>Spoken Tutorial Coordinator</t>
  </si>
  <si>
    <t>Class Advisor</t>
  </si>
  <si>
    <t>Aggregate Score - For 2020 - 21 - ID</t>
  </si>
  <si>
    <t>Summary of Scores - Year 2020 - '21</t>
  </si>
  <si>
    <t>Total Score</t>
  </si>
  <si>
    <t>Institutional/ Departmental Contributions and Outcomes</t>
  </si>
  <si>
    <t>Gross Score</t>
  </si>
  <si>
    <t>Summary of Discussion - Year 2020 - '21</t>
  </si>
  <si>
    <t>Overall Self Assessment</t>
  </si>
  <si>
    <t>I have contributed the most to all the work alloted to me with commitment.I had worked for MS Team implementation,spoken tutorial coordination for facilitating the students to obtain certification,placemnet coordinator .This assessmnet provides us the opportunity to find the strength and weakness of the self .</t>
  </si>
  <si>
    <t>Overall Appraiser's Feedback</t>
  </si>
  <si>
    <t>HR Observations</t>
  </si>
  <si>
    <t>Guidelines for filling/calculation of scores</t>
  </si>
  <si>
    <t>S No</t>
  </si>
  <si>
    <t>Scale of Measurement</t>
  </si>
  <si>
    <r>
      <t xml:space="preserve">~ Number of live case study, current affairs
~ Updation of contents with respect to current trends prevalent in industry
~ Number of additional materials used as reference for preparing the class notes
</t>
    </r>
    <r>
      <rPr>
        <b/>
        <sz val="11"/>
        <color indexed="8"/>
        <rFont val="Calibri"/>
        <family val="2"/>
      </rPr>
      <t>~</t>
    </r>
    <r>
      <rPr>
        <sz val="11"/>
        <color theme="1"/>
        <rFont val="Calibri"/>
        <family val="2"/>
        <scheme val="minor"/>
      </rPr>
      <t xml:space="preserve"> Measured by
      ~ Content - Review of the material, its contents and its relevance to CO and current trends by HOD (Submit 2 unit's materials for review)
      ~ Pedagogy - Measured based on student-teacher interactions and reciprocity, active learning method and effective communication of topics covered</t>
    </r>
  </si>
  <si>
    <t>Use of Technology, Material/class note preparation (PPT), Innovative methods in delivery</t>
  </si>
  <si>
    <t>~ Slides made should be self explanatory and no running texts
~ Google class notes  adequately prepared for self study by students – 15 weeks worth
~ Material for self study in Moodle along with the assignment submission mode
~ Quiz/Tests conducted via online mode
~ Measured through Review Cost saving effective methods - Paperless assignments, Online Exam Patterns, and Quality of Self study materials uploaded
(Submit proof of 2 online quiz &amp; Review Materials submitted for Point 1.Teaching pedagogy and Content preparation)</t>
  </si>
  <si>
    <t>HOD Feedback</t>
  </si>
  <si>
    <t>~ Initiation of the 360 degree feedback 
~ Measurable elements includes Teaching preparation (reading, library usage, live case study), Content expertise, Classroom delivery &amp; interaction with students, Doubt clarification, Subject CO achieved and Evaluation methods</t>
  </si>
  <si>
    <t>Student Feedback</t>
  </si>
  <si>
    <r>
      <t xml:space="preserve">~ Online feedback filled in by students in MyKCT application (ERP) for the Academic Year 2018-19 (Both Odd &amp; Even Semester)
~ </t>
    </r>
    <r>
      <rPr>
        <b/>
        <u/>
        <sz val="12"/>
        <color indexed="8"/>
        <rFont val="Calibri"/>
        <family val="2"/>
      </rPr>
      <t>Score Calculation</t>
    </r>
    <r>
      <rPr>
        <u/>
        <sz val="11"/>
        <color indexed="8"/>
        <rFont val="Calibri"/>
        <family val="2"/>
      </rPr>
      <t xml:space="preserve"> </t>
    </r>
    <r>
      <rPr>
        <sz val="11"/>
        <color theme="1"/>
        <rFont val="Calibri"/>
        <family val="2"/>
        <scheme val="minor"/>
      </rPr>
      <t xml:space="preserve">
              ~ For every subject taught by the Individual faculty, the ERP generated report contains, the overall percentage attained as feedback score for that respective subject
              ~ While calculating the overall score for the KPI, take </t>
    </r>
    <r>
      <rPr>
        <b/>
        <sz val="11"/>
        <color indexed="8"/>
        <rFont val="Calibri"/>
        <family val="2"/>
      </rPr>
      <t>average of the percentage of all the subjects</t>
    </r>
    <r>
      <rPr>
        <sz val="11"/>
        <color theme="1"/>
        <rFont val="Calibri"/>
        <family val="2"/>
        <scheme val="minor"/>
      </rPr>
      <t xml:space="preserve"> (theory/lab) taught by the faculty, </t>
    </r>
    <r>
      <rPr>
        <b/>
        <sz val="11"/>
        <color indexed="8"/>
        <rFont val="Calibri"/>
        <family val="2"/>
      </rPr>
      <t>compare that score with the score range</t>
    </r>
    <r>
      <rPr>
        <sz val="11"/>
        <color theme="1"/>
        <rFont val="Calibri"/>
        <family val="2"/>
        <scheme val="minor"/>
      </rPr>
      <t xml:space="preserve"> provided, and enter the corresponding points provided for that particular range</t>
    </r>
  </si>
  <si>
    <r>
      <rPr>
        <sz val="11"/>
        <color indexed="8"/>
        <rFont val="Calibri"/>
        <family val="2"/>
      </rPr>
      <t>Activities for uplifting slow learners</t>
    </r>
    <r>
      <rPr>
        <sz val="11"/>
        <color theme="1"/>
        <rFont val="Calibri"/>
        <family val="2"/>
        <scheme val="minor"/>
      </rPr>
      <t xml:space="preserve">                       </t>
    </r>
  </si>
  <si>
    <t>~ Number of remedial classes taken on monthly basis
~ Number of students showing improvement in their performance in examination</t>
  </si>
  <si>
    <t>6,7,8</t>
  </si>
  <si>
    <t>Course result Outcome Aggregate</t>
  </si>
  <si>
    <t>~ It measures both analytical /non-analytical/ 1-credit courses outcome as pass percentage of students appearing for the exam
~ Analytical papers include mathematical, programming and subjects involving derivations</t>
  </si>
  <si>
    <t>Student course attendance</t>
  </si>
  <si>
    <t>~ Measured by taking the average of student attendance records for every subject handled</t>
  </si>
  <si>
    <t>Conducting professional courses and training program for students</t>
  </si>
  <si>
    <t xml:space="preserve">~ Proof of course conducted and course feedback
~ Courses include GATE preparation, Analytical skill sharpening, New Language course, Placement training </t>
  </si>
  <si>
    <t>Faculty Development Certification</t>
  </si>
  <si>
    <t>~ Based on the number of courses done as knowledge up gradation during the course of evaluation</t>
  </si>
  <si>
    <t>PhD Status</t>
  </si>
  <si>
    <t>~ Based on the current status of completion of PhD</t>
  </si>
  <si>
    <t>NET / SET Qualified</t>
  </si>
  <si>
    <t>~ Based on their qualification of NET/SET</t>
  </si>
  <si>
    <t>Training Program hours / year - KLDA &amp; Others</t>
  </si>
  <si>
    <t>~ Proof of program being related to their domain for self development and in return support in student development</t>
  </si>
  <si>
    <t>Paper Publication - Scopus / WOS / SAE</t>
  </si>
  <si>
    <t>~ Proof of published research paper in Scopus/WOS listed journals</t>
  </si>
  <si>
    <t xml:space="preserve">Paper Publication - Others </t>
  </si>
  <si>
    <t>~ Proof of published research paper in UGC listed journals</t>
  </si>
  <si>
    <t>Book or Chapter publishing in ISBN listed</t>
  </si>
  <si>
    <t>~ Proof of published book/chapter with ISBN number</t>
  </si>
  <si>
    <t>~ Based on the paper that has been presented in International conferences outside India</t>
  </si>
  <si>
    <t>Guiding students in Scopus / WOS Journal publication</t>
  </si>
  <si>
    <t>~ Proof of published research paper done by the student in Scopus/WOS listed journals</t>
  </si>
  <si>
    <t>Funded Project Submission and presentation (under review)</t>
  </si>
  <si>
    <t>~ Proof of the submission of project and fundings received</t>
  </si>
  <si>
    <t>Externally Funded Project</t>
  </si>
  <si>
    <t>~ Based on the amount received as fundings
~ Actual value by TN GST</t>
  </si>
  <si>
    <t>~ Proof of Patent rights submitted/received</t>
  </si>
  <si>
    <t>~ Based on the increase in the h index number compared to previous year</t>
  </si>
  <si>
    <t>~ Based on number of citation used during the evaluation period</t>
  </si>
  <si>
    <t>Conference paper presentation at IIT / IISC / NIT / Above KCT by faculty</t>
  </si>
  <si>
    <t>~ Proof of the paper presented in the conference in institutions above KCT only (as per NIRF ranking)</t>
  </si>
  <si>
    <t>Conference paper and extended Scopus /  WOS / SAE publication (Combined) by faculty</t>
  </si>
  <si>
    <t>~ Proof of the paper presented and published in Scopus/WOS/SAE listed journals</t>
  </si>
  <si>
    <t>Product development of commercial nature</t>
  </si>
  <si>
    <t>~ Proof of product development in the form of blueprints, prototypes, working models</t>
  </si>
  <si>
    <t>Product development from student projects</t>
  </si>
  <si>
    <t>~ Proof of product development by the students in the form of blueprints, prototypes, working models</t>
  </si>
  <si>
    <t>~ Number of students involved in projects related to Re, I-Qube, and Garage</t>
  </si>
  <si>
    <t>~ Number of students participation in the activities conducted by Forge</t>
  </si>
  <si>
    <r>
      <t xml:space="preserve">Industrial / Research Consultancy &amp; Training </t>
    </r>
    <r>
      <rPr>
        <b/>
        <sz val="11"/>
        <color indexed="8"/>
        <rFont val="Calibri"/>
        <family val="2"/>
      </rPr>
      <t>(Financial)</t>
    </r>
  </si>
  <si>
    <t>~ Based on the amount received as consultancy charges reflected in finance department</t>
  </si>
  <si>
    <t>FDP participation</t>
  </si>
  <si>
    <t xml:space="preserve">~ Based on the proof of FDP participated that last for more than seven days span </t>
  </si>
  <si>
    <t>MOU signed with University / Professional body / Industry for exchange, research and others</t>
  </si>
  <si>
    <t>~ Number of MoU signed with other Universities for student exchange program or research program for the evaluated year
~ Proof of MOU signed to be submitted</t>
  </si>
  <si>
    <r>
      <t xml:space="preserve">Industrial / Research Consultancy &amp; Training </t>
    </r>
    <r>
      <rPr>
        <b/>
        <sz val="11"/>
        <color indexed="8"/>
        <rFont val="Calibri"/>
        <family val="2"/>
      </rPr>
      <t>(Institutional Branding)</t>
    </r>
  </si>
  <si>
    <t>~ Proof of participation in consultancy projects that receives no consultancy charges</t>
  </si>
  <si>
    <t xml:space="preserve">Sabbatical program for industrial linkage or knowledge enhancement, greater than or equal to one Month </t>
  </si>
  <si>
    <t>~ Proof of program undergone with respect to their domain for knowledge and professional enhancement</t>
  </si>
  <si>
    <t>International Award from Registered professional body</t>
  </si>
  <si>
    <t>~ Proof of award/entitlement received during the evaluation period</t>
  </si>
  <si>
    <t xml:space="preserve">National / State Award from Registered professional body </t>
  </si>
  <si>
    <t>8,9,10</t>
  </si>
  <si>
    <t>Editorial member/Reviewer  of Scopus/WOS Indexed International/Other International Journal</t>
  </si>
  <si>
    <t>~ Proof of designated Editorial member/Reviewer of Scopus/WOS Indexed International/other International journals</t>
  </si>
  <si>
    <t xml:space="preserve">NGO Collaboration </t>
  </si>
  <si>
    <t>~ Proof of collaboration with recognized and registered NGO
~ Societal impact of the project is taken into account for evaluation</t>
  </si>
  <si>
    <t>Institutional responsibility of heading independent body for performance improvement</t>
  </si>
  <si>
    <t>~ Responsible of heading NCC/GATE/FCLF/Academic Quality/Planning &amp; Innovation/Institutional Benchmarking</t>
  </si>
  <si>
    <t>Institutional responsibility of heading or involvement in ranking / accreditation / others of highest institutional importance</t>
  </si>
  <si>
    <t>~ Responsible of heading NIRF/NAAC/NBA/ AICTE &amp; AU/International Accreditation at Institutional level</t>
  </si>
  <si>
    <t>Organizing Conference</t>
  </si>
  <si>
    <t>~ Proof of the conference organized and the attendance of the attendees (Only external attendees)</t>
  </si>
  <si>
    <t>Organizing AICTE/Externally Sponsored FDP</t>
  </si>
  <si>
    <t>~ Proof of the FDP organized, the approved fund amount and the attendance of the attendees (Only external attendees)</t>
  </si>
  <si>
    <t>Organizing Workshop / Seminar</t>
  </si>
  <si>
    <t>~ Proof of the workshop/seminar organized and the attendance of the attendees</t>
  </si>
  <si>
    <t>Working with Alumni Entrepreneurs on research or consultancy on revenue sharing model only</t>
  </si>
  <si>
    <t>~ Proof of projects done with alumni entrepreneurs</t>
  </si>
  <si>
    <t>Expert for general outreach programs in schools etc.</t>
  </si>
  <si>
    <t>~ Proof of outreach program conducted, along with the attendance of the attendees</t>
  </si>
  <si>
    <t>Professional External audit member</t>
  </si>
  <si>
    <t>~ Responsible of auditing  NIRF/NAAC/NBA/ AICTE &amp; AU/International Accreditation</t>
  </si>
  <si>
    <t>Blogs on education system and subject expertise</t>
  </si>
  <si>
    <t>~ Proof of blogs written on domain related subjects with 150+ viewers</t>
  </si>
  <si>
    <t>Going as External expert or guest lecture (Above KCT)</t>
  </si>
  <si>
    <t>~ As part of knowledge sharing, proof of delivering guest lecture or as external expert</t>
  </si>
  <si>
    <t>Organizing local visits for students</t>
  </si>
  <si>
    <t>~ Proof of visit, and number of LVs organized 
~ Local visits may be to Industries, factory Units, floor unit operations or market visits</t>
  </si>
  <si>
    <t>Placing student in Core industry (only)</t>
  </si>
  <si>
    <t>~ Faculty initiates and takes responsibility of referring students to known companies, resulting in their placement is accounted
~ These students must be exempted from being accounted through placements by the placement team
~ Reviewed by committee</t>
  </si>
  <si>
    <t>Referred Internship</t>
  </si>
  <si>
    <t>~ Faculty initiates and takes responsibility of referring students to known companies, resulting in them getting an internship is accounted</t>
  </si>
  <si>
    <t>Student research development</t>
  </si>
  <si>
    <t>~ Proof of number of trainings conducted to develop the research knowledge in interested students</t>
  </si>
  <si>
    <t>Student Mentoring system</t>
  </si>
  <si>
    <t>~ Proper documentation of records including reports &amp; pictures of group mentoring sessions, records of individual mentoring sessions, sessions handled apart from the mentoring hours</t>
  </si>
  <si>
    <t>Leadership development program</t>
  </si>
  <si>
    <t>~ Program includes workshop for students with external expert on leadership skill building, decision making, Time management, Conflict management etc.
~ No of programs undertaken, program outcome measured through student feedback</t>
  </si>
  <si>
    <t>Student Accomplishments in Co-Curricular activities</t>
  </si>
  <si>
    <t>~  Proof of students winning in Technical Programs, Hackathons, or Symposiums under the guidance of the respective faculty</t>
  </si>
  <si>
    <t>Student Accomplishments in Extra - Curricular activities</t>
  </si>
  <si>
    <t>~ Proof of students winning in Sports/Club/Cultural events under the guidance of the respective faculty</t>
  </si>
  <si>
    <t>Symbols used in PADS appraisal template</t>
  </si>
  <si>
    <t>SL NO</t>
  </si>
  <si>
    <t>SYMBOL</t>
  </si>
  <si>
    <t>DESCRIPTION</t>
  </si>
  <si>
    <t xml:space="preserve">* </t>
  </si>
  <si>
    <t>This is only for primary, second and third author. Primary / corresponding author will get 100 %, Second author will get 50 % and third author will get 25 % marks</t>
  </si>
  <si>
    <t xml:space="preserve">** </t>
  </si>
  <si>
    <t>Evidence of feedback required</t>
  </si>
  <si>
    <t xml:space="preserve">*** </t>
  </si>
  <si>
    <t>Document evidence and feedback evidence required</t>
  </si>
  <si>
    <t>+</t>
  </si>
  <si>
    <t>PI will get 100 % Marks and CI will get 50 %</t>
  </si>
  <si>
    <t>++</t>
  </si>
  <si>
    <t>Completion of course during the tenure</t>
  </si>
  <si>
    <t>@</t>
  </si>
  <si>
    <t>1st Coordinator will get 100 %, 2nd Co-coordinator (maximum 1 No. only will get 50 % and Committee member will get 10 %</t>
  </si>
  <si>
    <t xml:space="preserve">&amp; </t>
  </si>
  <si>
    <t>Significant to either financial, quality or performance outcome only and also validated by HOD and Principal for 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</si>
</sst>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1"/>
      <color theme="1"/>
      <name val="Calibri"/>
      <family val="2"/>
      <scheme val="minor"/>
    </font>
    <font>
      <sz val="11"/>
      <color indexed="8"/>
      <name val="Calibri"/>
      <family val="2"/>
    </font>
    <font>
      <sz val="9"/>
      <color indexed="56"/>
      <name val="Calibri"/>
      <family val="2"/>
    </font>
    <font>
      <b/>
      <i/>
      <sz val="9"/>
      <color indexed="56"/>
      <name val="Calibri"/>
      <family val="2"/>
    </font>
    <font>
      <b/>
      <sz val="10"/>
      <color indexed="56"/>
      <name val="Calibri"/>
      <family val="2"/>
    </font>
    <font>
      <b/>
      <i/>
      <u/>
      <sz val="9"/>
      <color indexed="56"/>
      <name val="Calibri"/>
      <family val="2"/>
    </font>
    <font>
      <b/>
      <sz val="11"/>
      <color indexed="8"/>
      <name val="Calibri"/>
      <family val="2"/>
    </font>
    <font>
      <sz val="10"/>
      <color indexed="8"/>
      <name val="Calibri"/>
      <family val="2"/>
    </font>
    <font>
      <b/>
      <sz val="10"/>
      <color indexed="8"/>
      <name val="Calibri"/>
      <family val="2"/>
    </font>
    <font>
      <b/>
      <sz val="11"/>
      <name val="Calibri"/>
      <family val="2"/>
    </font>
    <font>
      <sz val="11"/>
      <name val="Calibri"/>
      <family val="2"/>
    </font>
    <font>
      <sz val="10"/>
      <name val="Calibri"/>
      <family val="2"/>
    </font>
    <font>
      <b/>
      <sz val="10"/>
      <name val="Calibri"/>
      <family val="2"/>
    </font>
    <font>
      <sz val="8"/>
      <color indexed="56"/>
      <name val="Calibri"/>
      <family val="2"/>
    </font>
    <font>
      <b/>
      <i/>
      <sz val="11"/>
      <color indexed="52"/>
      <name val="Calibri"/>
      <family val="2"/>
    </font>
    <font>
      <b/>
      <i/>
      <sz val="11"/>
      <color indexed="9"/>
      <name val="Calibri"/>
      <family val="2"/>
    </font>
    <font>
      <b/>
      <u/>
      <sz val="12"/>
      <color indexed="8"/>
      <name val="Calibri"/>
      <family val="2"/>
    </font>
    <font>
      <u/>
      <sz val="11"/>
      <color indexed="8"/>
      <name val="Calibri"/>
      <family val="2"/>
    </font>
    <font>
      <sz val="8"/>
      <color indexed="8"/>
      <name val="Calibri"/>
      <family val="2"/>
    </font>
    <font>
      <sz val="16"/>
      <name val="Calibri"/>
      <family val="2"/>
    </font>
    <font>
      <sz val="11"/>
      <color theme="0"/>
      <name val="Calibri"/>
      <family val="2"/>
      <scheme val="minor"/>
    </font>
    <font>
      <sz val="11"/>
      <color rgb="FF002060"/>
      <name val="Calibri"/>
      <family val="2"/>
      <scheme val="minor"/>
    </font>
    <font>
      <sz val="12"/>
      <color rgb="FF002060"/>
      <name val="Times New Roman"/>
      <family val="1"/>
    </font>
    <font>
      <sz val="9"/>
      <color rgb="FF002060"/>
      <name val="Calibri"/>
      <family val="2"/>
      <scheme val="minor"/>
    </font>
    <font>
      <b/>
      <i/>
      <sz val="9"/>
      <color theme="0"/>
      <name val="Calibri"/>
      <family val="2"/>
      <scheme val="minor"/>
    </font>
    <font>
      <b/>
      <sz val="10.5"/>
      <color rgb="FF002060"/>
      <name val="Calibri"/>
      <family val="2"/>
      <scheme val="minor"/>
    </font>
    <font>
      <sz val="11"/>
      <color theme="1"/>
      <name val="Calibri"/>
      <family val="2"/>
    </font>
    <font>
      <sz val="11"/>
      <color theme="0"/>
      <name val="Calibri"/>
      <family val="2"/>
    </font>
    <font>
      <b/>
      <sz val="11"/>
      <color rgb="FF002060"/>
      <name val="Calibri"/>
      <family val="2"/>
    </font>
    <font>
      <b/>
      <sz val="12"/>
      <color theme="1"/>
      <name val="Calibri"/>
      <family val="2"/>
    </font>
    <font>
      <sz val="12"/>
      <color rgb="FFFFFFFF"/>
      <name val="Calibri"/>
      <family val="2"/>
    </font>
    <font>
      <sz val="14"/>
      <color rgb="FFFFFFFF"/>
      <name val="Calibri"/>
      <family val="2"/>
    </font>
    <font>
      <b/>
      <sz val="11"/>
      <color rgb="FF000000"/>
      <name val="Calibri"/>
      <family val="2"/>
    </font>
    <font>
      <b/>
      <sz val="11"/>
      <color rgb="FFFF0000"/>
      <name val="Calibri"/>
      <family val="2"/>
    </font>
    <font>
      <b/>
      <i/>
      <sz val="8"/>
      <color rgb="FF002060"/>
      <name val="Calibri"/>
      <family val="2"/>
      <scheme val="minor"/>
    </font>
    <font>
      <sz val="11"/>
      <color rgb="FF000000"/>
      <name val="Calibri"/>
      <family val="2"/>
    </font>
    <font>
      <sz val="14"/>
      <color rgb="FF002060"/>
      <name val="Calibri"/>
      <family val="2"/>
      <scheme val="minor"/>
    </font>
    <font>
      <i/>
      <sz val="11"/>
      <color rgb="FF002060"/>
      <name val="Calibri"/>
      <family val="2"/>
      <scheme val="minor"/>
    </font>
    <font>
      <i/>
      <sz val="9"/>
      <name val="Calibri"/>
      <family val="2"/>
      <scheme val="minor"/>
    </font>
    <font>
      <b/>
      <i/>
      <sz val="9"/>
      <name val="Calibri"/>
      <family val="2"/>
      <scheme val="minor"/>
    </font>
    <font>
      <b/>
      <sz val="12"/>
      <color rgb="FFFFFFFF"/>
      <name val="Calibri"/>
      <family val="2"/>
    </font>
    <font>
      <b/>
      <sz val="12"/>
      <color rgb="FF002060"/>
      <name val="Calibri"/>
      <family val="2"/>
    </font>
    <font>
      <b/>
      <sz val="11"/>
      <color theme="1"/>
      <name val="Calibri"/>
      <family val="2"/>
    </font>
    <font>
      <b/>
      <sz val="14"/>
      <color theme="1"/>
      <name val="Calibri"/>
      <family val="2"/>
      <scheme val="minor"/>
    </font>
    <font>
      <sz val="10"/>
      <color rgb="FF000000"/>
      <name val="Calibri"/>
      <family val="2"/>
    </font>
    <font>
      <sz val="10"/>
      <color theme="1"/>
      <name val="Calibri"/>
      <family val="2"/>
    </font>
    <font>
      <b/>
      <sz val="18"/>
      <color rgb="FF002060"/>
      <name val="Calibri"/>
      <family val="2"/>
      <scheme val="minor"/>
    </font>
    <font>
      <b/>
      <sz val="14"/>
      <color rgb="FF002060"/>
      <name val="Calibri"/>
      <family val="2"/>
      <scheme val="minor"/>
    </font>
    <font>
      <b/>
      <i/>
      <sz val="11"/>
      <color theme="0"/>
      <name val="Calibri"/>
      <family val="2"/>
      <scheme val="minor"/>
    </font>
    <font>
      <sz val="10"/>
      <color rgb="FF002060"/>
      <name val="Calibri"/>
      <family val="2"/>
      <scheme val="minor"/>
    </font>
    <font>
      <b/>
      <sz val="12"/>
      <color theme="0"/>
      <name val="Calibri"/>
      <family val="2"/>
      <scheme val="minor"/>
    </font>
    <font>
      <i/>
      <sz val="10"/>
      <color theme="0"/>
      <name val="Calibri"/>
      <family val="2"/>
      <scheme val="minor"/>
    </font>
    <font>
      <b/>
      <sz val="10"/>
      <color rgb="FF002060"/>
      <name val="Calibri"/>
      <family val="2"/>
      <scheme val="minor"/>
    </font>
    <font>
      <b/>
      <sz val="12"/>
      <color rgb="FF002060"/>
      <name val="Calibri"/>
      <family val="2"/>
      <scheme val="minor"/>
    </font>
    <font>
      <b/>
      <i/>
      <sz val="10"/>
      <color rgb="FF002060"/>
      <name val="Calibri"/>
      <family val="2"/>
      <scheme val="minor"/>
    </font>
    <font>
      <sz val="16"/>
      <color theme="1"/>
      <name val="Calibri"/>
      <family val="2"/>
    </font>
    <font>
      <sz val="10"/>
      <color rgb="FFFFFFFF"/>
      <name val="Calibri"/>
      <family val="2"/>
    </font>
    <font>
      <b/>
      <sz val="14"/>
      <color rgb="FFFFFFFF"/>
      <name val="Calibri"/>
      <family val="2"/>
    </font>
  </fonts>
  <fills count="18">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0"/>
        <bgColor indexed="64"/>
      </patternFill>
    </fill>
    <fill>
      <patternFill patternType="solid">
        <fgColor rgb="FFF2F2F2"/>
        <bgColor rgb="FF000000"/>
      </patternFill>
    </fill>
    <fill>
      <patternFill patternType="solid">
        <fgColor rgb="FF002060"/>
        <bgColor rgb="FF000000"/>
      </patternFill>
    </fill>
    <fill>
      <patternFill patternType="solid">
        <fgColor rgb="FFFF9933"/>
        <bgColor indexed="64"/>
      </patternFill>
    </fill>
    <fill>
      <patternFill patternType="solid">
        <fgColor rgb="FFE46D0A"/>
        <bgColor rgb="FF000000"/>
      </patternFill>
    </fill>
    <fill>
      <patternFill patternType="solid">
        <fgColor theme="0" tint="-0.34998626667073579"/>
        <bgColor rgb="FF000000"/>
      </patternFill>
    </fill>
    <fill>
      <patternFill patternType="solid">
        <fgColor theme="6" tint="0.79998168889431442"/>
        <bgColor rgb="FF000000"/>
      </patternFill>
    </fill>
    <fill>
      <patternFill patternType="solid">
        <fgColor theme="6" tint="0.59999389629810485"/>
        <bgColor rgb="FF000000"/>
      </patternFill>
    </fill>
    <fill>
      <patternFill patternType="solid">
        <fgColor theme="0" tint="-0.14999847407452621"/>
        <bgColor indexed="64"/>
      </patternFill>
    </fill>
    <fill>
      <patternFill patternType="solid">
        <fgColor theme="2" tint="-0.249977111117893"/>
        <bgColor rgb="FF000000"/>
      </patternFill>
    </fill>
    <fill>
      <patternFill patternType="solid">
        <fgColor rgb="FFFFFFFF"/>
        <bgColor rgb="FF000000"/>
      </patternFill>
    </fill>
    <fill>
      <patternFill patternType="solid">
        <fgColor rgb="FFFCD5B4"/>
        <bgColor rgb="FF000000"/>
      </patternFill>
    </fill>
    <fill>
      <patternFill patternType="solid">
        <fgColor theme="5" tint="-0.249977111117893"/>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bottom style="medium">
        <color indexed="64"/>
      </bottom>
      <diagonal/>
    </border>
    <border>
      <left/>
      <right style="thin">
        <color indexed="64"/>
      </right>
      <top style="thin">
        <color indexed="64"/>
      </top>
      <bottom/>
      <diagonal/>
    </border>
    <border>
      <left/>
      <right style="thin">
        <color indexed="64"/>
      </right>
      <top style="medium">
        <color indexed="64"/>
      </top>
      <bottom/>
      <diagonal/>
    </border>
    <border>
      <left/>
      <right/>
      <top style="thin">
        <color indexed="64"/>
      </top>
      <bottom/>
      <diagonal/>
    </border>
    <border>
      <left style="thin">
        <color rgb="FFFFFFFF"/>
      </left>
      <right/>
      <top style="thin">
        <color rgb="FFFFFFFF"/>
      </top>
      <bottom style="thin">
        <color rgb="FFFFFFFF"/>
      </bottom>
      <diagonal/>
    </border>
    <border>
      <left style="thin">
        <color rgb="FFFFFFFF"/>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8" tint="-0.249977111117893"/>
      </left>
      <right style="thin">
        <color theme="8" tint="-0.249977111117893"/>
      </right>
      <top style="thin">
        <color theme="8" tint="-0.249977111117893"/>
      </top>
      <bottom style="thin">
        <color theme="8" tint="-0.249977111117893"/>
      </bottom>
      <diagonal/>
    </border>
  </borders>
  <cellStyleXfs count="1">
    <xf numFmtId="0" fontId="0" fillId="0" borderId="0"/>
  </cellStyleXfs>
  <cellXfs count="257">
    <xf numFmtId="0" fontId="0" fillId="0" borderId="0" xfId="0"/>
    <xf numFmtId="0" fontId="21" fillId="2" borderId="0" xfId="0" applyFont="1" applyFill="1" applyAlignment="1" applyProtection="1">
      <alignment vertical="center"/>
      <protection locked="0"/>
    </xf>
    <xf numFmtId="0" fontId="22" fillId="2" borderId="0" xfId="0" applyFont="1" applyFill="1" applyAlignment="1" applyProtection="1">
      <alignment vertical="center"/>
      <protection locked="0"/>
    </xf>
    <xf numFmtId="0" fontId="21" fillId="0" borderId="0" xfId="0" applyFont="1" applyAlignment="1" applyProtection="1">
      <alignment vertical="center"/>
      <protection locked="0"/>
    </xf>
    <xf numFmtId="0" fontId="21" fillId="2" borderId="0" xfId="0" applyFont="1" applyFill="1" applyAlignment="1" applyProtection="1">
      <alignment vertical="center" wrapText="1"/>
      <protection locked="0"/>
    </xf>
    <xf numFmtId="0" fontId="20" fillId="3" borderId="1" xfId="0" applyFont="1" applyFill="1" applyBorder="1" applyAlignment="1">
      <alignment horizontal="center" vertical="center" wrapText="1"/>
    </xf>
    <xf numFmtId="0" fontId="20" fillId="3" borderId="1" xfId="0" applyFont="1" applyFill="1" applyBorder="1" applyAlignment="1">
      <alignment horizontal="center" vertical="center"/>
    </xf>
    <xf numFmtId="0" fontId="23" fillId="4" borderId="1" xfId="0" applyFont="1" applyFill="1" applyBorder="1" applyAlignment="1">
      <alignment horizontal="center" vertical="center" wrapText="1"/>
    </xf>
    <xf numFmtId="0" fontId="21" fillId="5" borderId="1" xfId="0" applyFont="1" applyFill="1" applyBorder="1" applyAlignment="1">
      <alignment horizontal="center" vertical="center"/>
    </xf>
    <xf numFmtId="0" fontId="21" fillId="4" borderId="1" xfId="0" applyFont="1" applyFill="1" applyBorder="1" applyAlignment="1">
      <alignment horizontal="center" vertical="center"/>
    </xf>
    <xf numFmtId="0" fontId="24" fillId="3" borderId="1" xfId="0" applyFont="1" applyFill="1" applyBorder="1" applyAlignment="1">
      <alignment horizontal="right" vertical="center"/>
    </xf>
    <xf numFmtId="0" fontId="25" fillId="5" borderId="1" xfId="0" applyFont="1" applyFill="1" applyBorder="1" applyAlignment="1">
      <alignment horizontal="center" vertical="center"/>
    </xf>
    <xf numFmtId="0" fontId="26" fillId="6" borderId="0" xfId="0" applyFont="1" applyFill="1" applyProtection="1">
      <protection locked="0"/>
    </xf>
    <xf numFmtId="0" fontId="27" fillId="7" borderId="2" xfId="0" applyFont="1" applyFill="1" applyBorder="1" applyAlignment="1">
      <alignment horizontal="left" vertical="center"/>
    </xf>
    <xf numFmtId="0" fontId="27" fillId="7" borderId="3" xfId="0" applyFont="1" applyFill="1" applyBorder="1" applyAlignment="1">
      <alignment horizontal="left" vertical="center"/>
    </xf>
    <xf numFmtId="0" fontId="27" fillId="7" borderId="4" xfId="0" applyFont="1" applyFill="1" applyBorder="1" applyAlignment="1">
      <alignment horizontal="left" vertical="center"/>
    </xf>
    <xf numFmtId="0" fontId="28" fillId="0" borderId="5" xfId="0" applyFont="1" applyBorder="1" applyAlignment="1">
      <alignment horizontal="center" vertical="center"/>
    </xf>
    <xf numFmtId="0" fontId="28" fillId="0" borderId="6" xfId="0" applyFont="1" applyBorder="1" applyAlignment="1">
      <alignment horizontal="center" vertical="center"/>
    </xf>
    <xf numFmtId="0" fontId="28" fillId="0" borderId="7" xfId="0" applyFont="1" applyBorder="1" applyAlignment="1">
      <alignment horizontal="center" vertical="center"/>
    </xf>
    <xf numFmtId="0" fontId="29" fillId="8" borderId="1" xfId="0" applyFont="1" applyFill="1" applyBorder="1" applyAlignment="1">
      <alignment horizontal="center"/>
    </xf>
    <xf numFmtId="0" fontId="28" fillId="0" borderId="8" xfId="0" applyFont="1" applyBorder="1" applyAlignment="1">
      <alignment horizontal="center" vertical="center"/>
    </xf>
    <xf numFmtId="0" fontId="28" fillId="0" borderId="9" xfId="0" applyFont="1" applyBorder="1" applyAlignment="1">
      <alignment horizontal="center" vertical="center"/>
    </xf>
    <xf numFmtId="0" fontId="28" fillId="0" borderId="10" xfId="0" applyFont="1" applyBorder="1" applyAlignment="1">
      <alignment horizontal="center" vertical="center"/>
    </xf>
    <xf numFmtId="0" fontId="28" fillId="0" borderId="10" xfId="0" applyFont="1" applyBorder="1" applyAlignment="1">
      <alignment horizontal="center" vertical="center" wrapText="1"/>
    </xf>
    <xf numFmtId="0" fontId="30" fillId="7" borderId="57" xfId="0" applyFont="1" applyFill="1" applyBorder="1" applyAlignment="1">
      <alignment horizontal="left" vertical="center" wrapText="1"/>
    </xf>
    <xf numFmtId="0" fontId="30" fillId="7" borderId="57" xfId="0" applyFont="1" applyFill="1" applyBorder="1" applyAlignment="1">
      <alignment horizontal="left" vertical="center"/>
    </xf>
    <xf numFmtId="0" fontId="31" fillId="9" borderId="58" xfId="0" applyFont="1" applyFill="1" applyBorder="1" applyAlignment="1">
      <alignment horizontal="left" vertical="center" wrapText="1"/>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3" fillId="0" borderId="4" xfId="0" applyFont="1" applyBorder="1" applyAlignment="1">
      <alignment horizontal="center" vertical="center"/>
    </xf>
    <xf numFmtId="49" fontId="34" fillId="4" borderId="1" xfId="0" applyNumberFormat="1" applyFont="1" applyFill="1" applyBorder="1" applyAlignment="1">
      <alignment horizontal="center" vertical="center" wrapText="1"/>
    </xf>
    <xf numFmtId="0" fontId="26" fillId="10" borderId="11" xfId="0" applyFont="1" applyFill="1" applyBorder="1" applyAlignment="1" applyProtection="1">
      <alignment horizontal="center" vertical="center"/>
      <protection locked="0"/>
    </xf>
    <xf numFmtId="0" fontId="10" fillId="10" borderId="11" xfId="0" applyFont="1" applyFill="1" applyBorder="1" applyAlignment="1" applyProtection="1">
      <alignment horizontal="center" vertical="center"/>
      <protection locked="0"/>
    </xf>
    <xf numFmtId="0" fontId="10" fillId="10" borderId="12" xfId="0" applyFont="1" applyFill="1" applyBorder="1" applyAlignment="1" applyProtection="1">
      <alignment horizontal="center" vertical="center"/>
      <protection locked="0"/>
    </xf>
    <xf numFmtId="0" fontId="26" fillId="0" borderId="1" xfId="0" applyFont="1" applyBorder="1" applyAlignment="1">
      <alignment horizontal="left" vertical="center" wrapText="1"/>
    </xf>
    <xf numFmtId="0" fontId="35" fillId="0" borderId="1" xfId="0" applyFont="1" applyBorder="1" applyAlignment="1">
      <alignment horizontal="left" vertical="center" wrapText="1"/>
    </xf>
    <xf numFmtId="0" fontId="28" fillId="0" borderId="13" xfId="0" applyFont="1" applyBorder="1" applyAlignment="1">
      <alignment horizontal="center" vertical="center"/>
    </xf>
    <xf numFmtId="0" fontId="20" fillId="3" borderId="59" xfId="0" applyFont="1" applyFill="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1" fillId="2" borderId="0" xfId="0" applyFont="1" applyFill="1" applyAlignment="1">
      <alignment vertical="center"/>
    </xf>
    <xf numFmtId="0" fontId="36" fillId="2" borderId="0" xfId="0" applyFont="1" applyFill="1" applyAlignment="1">
      <alignment vertical="center"/>
    </xf>
    <xf numFmtId="0" fontId="37" fillId="2" borderId="0" xfId="0" applyFont="1" applyFill="1" applyAlignment="1">
      <alignment vertical="center"/>
    </xf>
    <xf numFmtId="0" fontId="26" fillId="11" borderId="1" xfId="0" applyFont="1" applyFill="1" applyBorder="1" applyAlignment="1" applyProtection="1">
      <alignment horizontal="center" vertical="center"/>
      <protection locked="0"/>
    </xf>
    <xf numFmtId="0" fontId="10" fillId="11" borderId="1" xfId="0" applyFont="1" applyFill="1" applyBorder="1" applyAlignment="1" applyProtection="1">
      <alignment horizontal="center" vertical="center"/>
      <protection locked="0"/>
    </xf>
    <xf numFmtId="0" fontId="10" fillId="11" borderId="14" xfId="0" applyFont="1" applyFill="1" applyBorder="1" applyAlignment="1" applyProtection="1">
      <alignment horizontal="center" vertical="center"/>
      <protection locked="0"/>
    </xf>
    <xf numFmtId="0" fontId="9" fillId="12" borderId="1" xfId="0" applyFont="1" applyFill="1" applyBorder="1" applyAlignment="1" applyProtection="1">
      <alignment horizontal="left" vertical="center" wrapText="1"/>
      <protection locked="0"/>
    </xf>
    <xf numFmtId="0" fontId="11" fillId="12" borderId="15" xfId="0" applyFont="1" applyFill="1" applyBorder="1" applyAlignment="1" applyProtection="1">
      <alignment horizontal="left" vertical="center" wrapText="1"/>
      <protection locked="0"/>
    </xf>
    <xf numFmtId="0" fontId="11" fillId="12" borderId="1" xfId="0" applyFont="1" applyFill="1" applyBorder="1" applyAlignment="1" applyProtection="1">
      <alignment horizontal="left" vertical="center" wrapText="1"/>
      <protection locked="0"/>
    </xf>
    <xf numFmtId="0" fontId="26" fillId="0" borderId="0" xfId="0" applyFont="1" applyProtection="1">
      <protection locked="0"/>
    </xf>
    <xf numFmtId="0" fontId="26" fillId="0" borderId="0" xfId="0" applyFont="1"/>
    <xf numFmtId="0" fontId="38" fillId="0" borderId="0" xfId="0" applyFont="1" applyAlignment="1">
      <alignment horizontal="right" vertical="center"/>
    </xf>
    <xf numFmtId="0" fontId="26" fillId="0" borderId="0" xfId="0" applyFont="1" applyAlignment="1" applyProtection="1">
      <alignment vertical="center"/>
      <protection locked="0"/>
    </xf>
    <xf numFmtId="0" fontId="26" fillId="0" borderId="0" xfId="0" applyFont="1" applyAlignment="1">
      <alignment vertical="center"/>
    </xf>
    <xf numFmtId="0" fontId="26" fillId="0" borderId="7" xfId="0" applyFont="1" applyBorder="1" applyAlignment="1">
      <alignment vertical="center"/>
    </xf>
    <xf numFmtId="0" fontId="39" fillId="0" borderId="1" xfId="0" applyFont="1" applyBorder="1" applyAlignment="1">
      <alignment horizontal="right" vertical="center"/>
    </xf>
    <xf numFmtId="0" fontId="21" fillId="0" borderId="1" xfId="0" applyFont="1" applyBorder="1" applyAlignment="1">
      <alignment horizontal="center" vertical="center"/>
    </xf>
    <xf numFmtId="0" fontId="26" fillId="0" borderId="1" xfId="0" applyFont="1" applyBorder="1"/>
    <xf numFmtId="0" fontId="26" fillId="0" borderId="1" xfId="0" applyFont="1" applyBorder="1" applyAlignment="1">
      <alignment vertical="center"/>
    </xf>
    <xf numFmtId="0" fontId="40" fillId="0" borderId="0" xfId="0" applyFont="1" applyAlignment="1" applyProtection="1">
      <alignment vertical="center"/>
      <protection locked="0"/>
    </xf>
    <xf numFmtId="0" fontId="26" fillId="0" borderId="0" xfId="0" applyFont="1" applyAlignment="1">
      <alignment horizontal="center" vertical="center"/>
    </xf>
    <xf numFmtId="0" fontId="26" fillId="0" borderId="0" xfId="0" applyFont="1" applyAlignment="1" applyProtection="1">
      <alignment horizontal="center" vertical="center"/>
      <protection locked="0"/>
    </xf>
    <xf numFmtId="0" fontId="41" fillId="0" borderId="0" xfId="0" applyFont="1" applyAlignment="1">
      <alignment vertical="center"/>
    </xf>
    <xf numFmtId="0" fontId="42" fillId="0" borderId="0" xfId="0" applyFont="1"/>
    <xf numFmtId="0" fontId="26" fillId="10" borderId="16" xfId="0" applyFont="1" applyFill="1" applyBorder="1" applyProtection="1">
      <protection locked="0"/>
    </xf>
    <xf numFmtId="0" fontId="26" fillId="10" borderId="17" xfId="0" applyFont="1" applyFill="1" applyBorder="1" applyProtection="1">
      <protection locked="0"/>
    </xf>
    <xf numFmtId="0" fontId="26" fillId="10" borderId="18" xfId="0" applyFont="1" applyFill="1" applyBorder="1" applyProtection="1">
      <protection locked="0"/>
    </xf>
    <xf numFmtId="0" fontId="0" fillId="0" borderId="0" xfId="0" applyAlignment="1">
      <alignment wrapText="1"/>
    </xf>
    <xf numFmtId="0" fontId="0" fillId="0" borderId="0" xfId="0" applyAlignment="1">
      <alignment horizontal="left" vertical="center" wrapText="1"/>
    </xf>
    <xf numFmtId="0" fontId="10" fillId="10" borderId="1" xfId="0" applyFont="1" applyFill="1" applyBorder="1" applyAlignment="1" applyProtection="1">
      <alignment horizontal="center" vertical="center"/>
      <protection locked="0"/>
    </xf>
    <xf numFmtId="0" fontId="31" fillId="9" borderId="0" xfId="0" applyFont="1" applyFill="1" applyAlignment="1">
      <alignment horizontal="left" vertical="center" wrapText="1"/>
    </xf>
    <xf numFmtId="0" fontId="33" fillId="0" borderId="3" xfId="0" applyFont="1" applyBorder="1" applyAlignment="1">
      <alignment horizontal="center" vertical="center"/>
    </xf>
    <xf numFmtId="0" fontId="20" fillId="3" borderId="60" xfId="0" applyFont="1" applyFill="1" applyBorder="1" applyAlignment="1">
      <alignment horizontal="center" vertical="center"/>
    </xf>
    <xf numFmtId="0" fontId="43" fillId="0" borderId="1" xfId="0" applyFont="1" applyBorder="1" applyAlignment="1">
      <alignment horizontal="center"/>
    </xf>
    <xf numFmtId="0" fontId="43" fillId="0" borderId="1" xfId="0" quotePrefix="1" applyFont="1" applyBorder="1" applyAlignment="1">
      <alignment horizontal="center"/>
    </xf>
    <xf numFmtId="0" fontId="0" fillId="0" borderId="19" xfId="0" applyBorder="1" applyAlignment="1">
      <alignment horizontal="center" vertical="center"/>
    </xf>
    <xf numFmtId="0" fontId="43" fillId="0" borderId="20" xfId="0" applyFont="1" applyBorder="1" applyAlignment="1">
      <alignment horizontal="center"/>
    </xf>
    <xf numFmtId="0" fontId="0" fillId="0" borderId="21" xfId="0" applyBorder="1" applyAlignment="1">
      <alignment horizontal="left" wrapText="1"/>
    </xf>
    <xf numFmtId="0" fontId="0" fillId="0" borderId="22" xfId="0" applyBorder="1" applyAlignment="1">
      <alignment horizontal="center" vertical="center"/>
    </xf>
    <xf numFmtId="0" fontId="0" fillId="0" borderId="23" xfId="0" applyBorder="1" applyAlignment="1">
      <alignment horizontal="left"/>
    </xf>
    <xf numFmtId="0" fontId="0" fillId="0" borderId="23" xfId="0" applyBorder="1" applyAlignment="1">
      <alignment horizontal="left" wrapText="1"/>
    </xf>
    <xf numFmtId="0" fontId="0" fillId="0" borderId="24" xfId="0" applyBorder="1" applyAlignment="1">
      <alignment horizontal="center" vertical="center"/>
    </xf>
    <xf numFmtId="0" fontId="43" fillId="0" borderId="6" xfId="0" applyFont="1" applyBorder="1" applyAlignment="1">
      <alignment horizontal="center"/>
    </xf>
    <xf numFmtId="0" fontId="0" fillId="0" borderId="25" xfId="0" applyBorder="1" applyAlignment="1">
      <alignment horizontal="left" wrapText="1"/>
    </xf>
    <xf numFmtId="0" fontId="10" fillId="12" borderId="11" xfId="0" applyFont="1" applyFill="1" applyBorder="1" applyAlignment="1" applyProtection="1">
      <alignment horizontal="left" vertical="center" wrapText="1"/>
      <protection locked="0"/>
    </xf>
    <xf numFmtId="0" fontId="21" fillId="0" borderId="14" xfId="0" applyFont="1" applyBorder="1" applyAlignment="1">
      <alignment horizontal="center" vertical="center"/>
    </xf>
    <xf numFmtId="0" fontId="26" fillId="0" borderId="14" xfId="0" applyFont="1" applyBorder="1"/>
    <xf numFmtId="0" fontId="26" fillId="0" borderId="14" xfId="0" applyFont="1" applyBorder="1" applyAlignment="1">
      <alignment vertical="center"/>
    </xf>
    <xf numFmtId="0" fontId="44" fillId="0" borderId="14"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20" xfId="0" applyFont="1" applyBorder="1" applyAlignment="1">
      <alignment horizontal="center" vertical="center" wrapText="1"/>
    </xf>
    <xf numFmtId="0" fontId="44" fillId="0" borderId="6" xfId="0" applyFont="1" applyBorder="1" applyAlignment="1">
      <alignment horizontal="center" vertical="center" wrapText="1"/>
    </xf>
    <xf numFmtId="0" fontId="26" fillId="0" borderId="26" xfId="0" applyFont="1" applyBorder="1" applyAlignment="1">
      <alignment horizontal="center" vertical="center"/>
    </xf>
    <xf numFmtId="9" fontId="44" fillId="0" borderId="1" xfId="0" applyNumberFormat="1" applyFont="1" applyBorder="1" applyAlignment="1">
      <alignment horizontal="center" vertical="center" wrapText="1"/>
    </xf>
    <xf numFmtId="0" fontId="45" fillId="0" borderId="1" xfId="0" applyFont="1" applyBorder="1" applyAlignment="1">
      <alignment horizontal="center" vertical="center" wrapText="1"/>
    </xf>
    <xf numFmtId="0" fontId="9" fillId="0" borderId="14" xfId="0" applyFont="1" applyBorder="1" applyAlignment="1">
      <alignment horizontal="left" vertical="center" wrapText="1"/>
    </xf>
    <xf numFmtId="0" fontId="11" fillId="0" borderId="14" xfId="0" applyFont="1" applyBorder="1" applyAlignment="1">
      <alignment horizontal="center" vertical="center" wrapText="1"/>
    </xf>
    <xf numFmtId="0" fontId="10" fillId="0" borderId="26" xfId="0" applyFont="1" applyBorder="1" applyAlignment="1">
      <alignment horizontal="center" vertical="center"/>
    </xf>
    <xf numFmtId="0" fontId="11" fillId="0" borderId="1" xfId="0" applyFont="1" applyBorder="1" applyAlignment="1">
      <alignment horizontal="center" vertical="center" wrapText="1"/>
    </xf>
    <xf numFmtId="0" fontId="9" fillId="0" borderId="1" xfId="0" applyFont="1" applyBorder="1" applyAlignment="1">
      <alignment horizontal="left" vertical="center" wrapText="1"/>
    </xf>
    <xf numFmtId="0" fontId="45" fillId="0" borderId="14" xfId="0" applyFont="1" applyBorder="1" applyAlignment="1">
      <alignment horizontal="center" vertical="center" wrapText="1"/>
    </xf>
    <xf numFmtId="0" fontId="42" fillId="0" borderId="1" xfId="0" applyFont="1" applyBorder="1" applyAlignment="1">
      <alignment horizontal="left" vertical="center" wrapText="1"/>
    </xf>
    <xf numFmtId="0" fontId="42" fillId="0" borderId="1" xfId="0" applyFont="1" applyBorder="1" applyAlignment="1">
      <alignment vertical="center" wrapText="1"/>
    </xf>
    <xf numFmtId="0" fontId="10" fillId="0" borderId="27" xfId="0" applyFont="1" applyBorder="1" applyAlignment="1">
      <alignment horizontal="center" vertical="center"/>
    </xf>
    <xf numFmtId="0" fontId="12"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26" fillId="0" borderId="27" xfId="0" applyFont="1" applyBorder="1" applyAlignment="1">
      <alignment horizontal="center" vertical="center"/>
    </xf>
    <xf numFmtId="0" fontId="11" fillId="0" borderId="15"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42" fillId="0" borderId="14" xfId="0" applyFont="1" applyBorder="1" applyAlignment="1">
      <alignment horizontal="left" vertical="center" wrapText="1"/>
    </xf>
    <xf numFmtId="0" fontId="1" fillId="0" borderId="1" xfId="0" applyFont="1" applyBorder="1" applyAlignment="1">
      <alignment horizontal="left" vertical="center" wrapText="1"/>
    </xf>
    <xf numFmtId="0" fontId="42" fillId="0" borderId="0" xfId="0" applyFont="1" applyAlignment="1">
      <alignment horizontal="center" vertical="center" wrapText="1"/>
    </xf>
    <xf numFmtId="0" fontId="9" fillId="16" borderId="32" xfId="0" applyFont="1" applyFill="1" applyBorder="1" applyAlignment="1">
      <alignment horizontal="center" vertical="center" textRotation="90"/>
    </xf>
    <xf numFmtId="0" fontId="9" fillId="16" borderId="33" xfId="0" applyFont="1" applyFill="1" applyBorder="1" applyAlignment="1">
      <alignment horizontal="center" vertical="center" textRotation="90"/>
    </xf>
    <xf numFmtId="0" fontId="9" fillId="16" borderId="34" xfId="0" applyFont="1" applyFill="1" applyBorder="1" applyAlignment="1">
      <alignment horizontal="center" vertical="center" textRotation="90"/>
    </xf>
    <xf numFmtId="0" fontId="28" fillId="0" borderId="39" xfId="0" applyFont="1" applyBorder="1" applyAlignment="1">
      <alignment horizontal="center" vertical="center"/>
    </xf>
    <xf numFmtId="0" fontId="28" fillId="0" borderId="41" xfId="0" applyFont="1" applyBorder="1" applyAlignment="1">
      <alignment horizontal="center" vertical="center"/>
    </xf>
    <xf numFmtId="0" fontId="42" fillId="0" borderId="1" xfId="0" applyFont="1" applyBorder="1" applyAlignment="1">
      <alignment horizontal="left" vertical="center" wrapText="1"/>
    </xf>
    <xf numFmtId="0" fontId="10" fillId="11" borderId="1" xfId="0" applyFont="1" applyFill="1" applyBorder="1" applyAlignment="1" applyProtection="1">
      <alignment horizontal="center" vertical="center"/>
      <protection locked="0"/>
    </xf>
    <xf numFmtId="0" fontId="10" fillId="10" borderId="11" xfId="0" applyFont="1" applyFill="1" applyBorder="1" applyAlignment="1" applyProtection="1">
      <alignment horizontal="center" vertical="center"/>
      <protection locked="0"/>
    </xf>
    <xf numFmtId="0" fontId="26" fillId="0" borderId="26" xfId="0" applyFont="1" applyBorder="1" applyAlignment="1">
      <alignment horizontal="center" vertical="center"/>
    </xf>
    <xf numFmtId="0" fontId="28" fillId="0" borderId="28" xfId="0" applyFont="1" applyBorder="1" applyAlignment="1">
      <alignment horizontal="center" vertical="center"/>
    </xf>
    <xf numFmtId="0" fontId="28" fillId="0" borderId="13" xfId="0" applyFont="1" applyBorder="1" applyAlignment="1">
      <alignment horizontal="center" vertical="center"/>
    </xf>
    <xf numFmtId="0" fontId="9" fillId="0" borderId="15" xfId="0" applyFont="1" applyBorder="1" applyAlignment="1">
      <alignment horizontal="left" vertical="center" wrapText="1"/>
    </xf>
    <xf numFmtId="0" fontId="9" fillId="0" borderId="42" xfId="0" applyFont="1" applyBorder="1" applyAlignment="1">
      <alignment horizontal="left" vertical="center" wrapText="1"/>
    </xf>
    <xf numFmtId="0" fontId="9" fillId="0" borderId="14" xfId="0" applyFont="1" applyBorder="1" applyAlignment="1">
      <alignment horizontal="left" vertical="center" wrapText="1"/>
    </xf>
    <xf numFmtId="0" fontId="26" fillId="0" borderId="1" xfId="0" applyFont="1" applyBorder="1" applyAlignment="1">
      <alignment horizontal="left" vertical="center" wrapText="1"/>
    </xf>
    <xf numFmtId="0" fontId="10" fillId="0" borderId="26" xfId="0" applyFont="1" applyBorder="1" applyAlignment="1">
      <alignment horizontal="center" vertical="center"/>
    </xf>
    <xf numFmtId="0" fontId="26" fillId="0" borderId="55" xfId="0" applyFont="1" applyBorder="1" applyAlignment="1">
      <alignment horizontal="left" vertical="center" wrapText="1"/>
    </xf>
    <xf numFmtId="0" fontId="26" fillId="0" borderId="38" xfId="0" applyFont="1" applyBorder="1" applyAlignment="1">
      <alignment horizontal="left" vertical="center" wrapText="1"/>
    </xf>
    <xf numFmtId="0" fontId="26" fillId="0" borderId="27" xfId="0" applyFont="1" applyBorder="1" applyAlignment="1">
      <alignment horizontal="left" vertical="center" wrapText="1"/>
    </xf>
    <xf numFmtId="0" fontId="26" fillId="0" borderId="0" xfId="0" applyFont="1" applyAlignment="1">
      <alignment horizontal="left" vertical="center" wrapText="1"/>
    </xf>
    <xf numFmtId="0" fontId="26" fillId="0" borderId="40" xfId="0" applyFont="1" applyBorder="1" applyAlignment="1">
      <alignment horizontal="left" vertical="center" wrapText="1"/>
    </xf>
    <xf numFmtId="0" fontId="26" fillId="0" borderId="47" xfId="0" applyFont="1" applyBorder="1" applyAlignment="1">
      <alignment horizontal="center" vertical="center"/>
    </xf>
    <xf numFmtId="0" fontId="26" fillId="0" borderId="48" xfId="0" applyFont="1" applyBorder="1" applyAlignment="1">
      <alignment horizontal="center" vertical="center"/>
    </xf>
    <xf numFmtId="0" fontId="26" fillId="0" borderId="53" xfId="0" applyFont="1" applyBorder="1" applyAlignment="1">
      <alignment horizontal="center" vertical="center"/>
    </xf>
    <xf numFmtId="0" fontId="26" fillId="0" borderId="54" xfId="0" applyFont="1" applyBorder="1" applyAlignment="1">
      <alignment horizontal="center" vertical="center"/>
    </xf>
    <xf numFmtId="0" fontId="26" fillId="0" borderId="27" xfId="0" applyFont="1" applyBorder="1" applyAlignment="1">
      <alignment horizontal="center" vertical="center"/>
    </xf>
    <xf numFmtId="0" fontId="41" fillId="14" borderId="15" xfId="0" applyFont="1" applyFill="1" applyBorder="1" applyAlignment="1">
      <alignment horizontal="center" vertical="center"/>
    </xf>
    <xf numFmtId="0" fontId="56" fillId="7" borderId="0" xfId="0" applyFont="1" applyFill="1" applyAlignment="1">
      <alignment horizontal="center" vertical="center"/>
    </xf>
    <xf numFmtId="0" fontId="56" fillId="7" borderId="38" xfId="0" applyFont="1" applyFill="1" applyBorder="1" applyAlignment="1">
      <alignment horizontal="center" vertical="center"/>
    </xf>
    <xf numFmtId="0" fontId="40" fillId="7" borderId="0" xfId="0" applyFont="1" applyFill="1" applyAlignment="1">
      <alignment horizontal="center" vertical="center"/>
    </xf>
    <xf numFmtId="0" fontId="40" fillId="7" borderId="38" xfId="0" applyFont="1" applyFill="1" applyBorder="1" applyAlignment="1">
      <alignment horizontal="center" vertical="center"/>
    </xf>
    <xf numFmtId="0" fontId="19" fillId="11" borderId="32" xfId="0" applyFont="1" applyFill="1" applyBorder="1" applyAlignment="1" applyProtection="1">
      <alignment horizontal="left" vertical="top"/>
      <protection locked="0"/>
    </xf>
    <xf numFmtId="0" fontId="19" fillId="11" borderId="33" xfId="0" applyFont="1" applyFill="1" applyBorder="1" applyAlignment="1" applyProtection="1">
      <alignment horizontal="left" vertical="top"/>
      <protection locked="0"/>
    </xf>
    <xf numFmtId="0" fontId="19" fillId="11" borderId="34" xfId="0" applyFont="1" applyFill="1" applyBorder="1" applyAlignment="1" applyProtection="1">
      <alignment horizontal="left" vertical="top"/>
      <protection locked="0"/>
    </xf>
    <xf numFmtId="0" fontId="19" fillId="10" borderId="35" xfId="0" applyFont="1" applyFill="1" applyBorder="1" applyAlignment="1" applyProtection="1">
      <alignment horizontal="left" vertical="top"/>
      <protection locked="0"/>
    </xf>
    <xf numFmtId="0" fontId="19" fillId="10" borderId="36" xfId="0" applyFont="1" applyFill="1" applyBorder="1" applyAlignment="1" applyProtection="1">
      <alignment horizontal="left" vertical="top"/>
      <protection locked="0"/>
    </xf>
    <xf numFmtId="0" fontId="19" fillId="10" borderId="37" xfId="0" applyFont="1" applyFill="1" applyBorder="1" applyAlignment="1" applyProtection="1">
      <alignment horizontal="left" vertical="top"/>
      <protection locked="0"/>
    </xf>
    <xf numFmtId="0" fontId="57" fillId="7" borderId="0" xfId="0" applyFont="1" applyFill="1" applyAlignment="1">
      <alignment horizontal="center" vertical="center"/>
    </xf>
    <xf numFmtId="0" fontId="32" fillId="0" borderId="1" xfId="0" applyFont="1" applyBorder="1" applyAlignment="1">
      <alignment horizontal="left" vertical="center" wrapText="1"/>
    </xf>
    <xf numFmtId="0" fontId="26" fillId="0" borderId="1" xfId="0" applyFont="1" applyBorder="1" applyAlignment="1">
      <alignment wrapText="1"/>
    </xf>
    <xf numFmtId="0" fontId="26" fillId="11" borderId="52" xfId="0" applyFont="1" applyFill="1" applyBorder="1" applyAlignment="1" applyProtection="1">
      <alignment horizontal="center" vertical="center"/>
      <protection locked="0"/>
    </xf>
    <xf numFmtId="0" fontId="26" fillId="10" borderId="12" xfId="0" applyFont="1" applyFill="1" applyBorder="1" applyAlignment="1" applyProtection="1">
      <alignment horizontal="center" vertical="center"/>
      <protection locked="0"/>
    </xf>
    <xf numFmtId="0" fontId="26" fillId="10" borderId="11" xfId="0" applyFont="1" applyFill="1" applyBorder="1" applyAlignment="1" applyProtection="1">
      <alignment horizontal="center" vertical="center"/>
      <protection locked="0"/>
    </xf>
    <xf numFmtId="0" fontId="40" fillId="7" borderId="52" xfId="0" applyFont="1" applyFill="1" applyBorder="1" applyAlignment="1">
      <alignment horizontal="center" vertical="center"/>
    </xf>
    <xf numFmtId="0" fontId="26" fillId="11" borderId="1" xfId="0" applyFont="1" applyFill="1" applyBorder="1" applyAlignment="1" applyProtection="1">
      <alignment horizontal="center" vertical="center"/>
      <protection locked="0"/>
    </xf>
    <xf numFmtId="0" fontId="42" fillId="0" borderId="14" xfId="0" applyFont="1" applyBorder="1" applyAlignment="1">
      <alignment horizontal="left" vertical="center" wrapText="1"/>
    </xf>
    <xf numFmtId="0" fontId="10" fillId="11" borderId="14" xfId="0" applyFont="1" applyFill="1" applyBorder="1" applyAlignment="1" applyProtection="1">
      <alignment horizontal="center" vertical="center"/>
      <protection locked="0"/>
    </xf>
    <xf numFmtId="0" fontId="10" fillId="10" borderId="12" xfId="0" applyFont="1" applyFill="1" applyBorder="1" applyAlignment="1" applyProtection="1">
      <alignment horizontal="center" vertical="center"/>
      <protection locked="0"/>
    </xf>
    <xf numFmtId="0" fontId="10" fillId="10" borderId="51" xfId="0" applyFont="1" applyFill="1" applyBorder="1" applyAlignment="1" applyProtection="1">
      <alignment horizontal="center" vertical="center"/>
      <protection locked="0"/>
    </xf>
    <xf numFmtId="0" fontId="10" fillId="10" borderId="52" xfId="0" applyFont="1" applyFill="1" applyBorder="1" applyAlignment="1" applyProtection="1">
      <alignment horizontal="center" vertical="center"/>
      <protection locked="0"/>
    </xf>
    <xf numFmtId="0" fontId="26" fillId="10" borderId="29" xfId="0" applyFont="1" applyFill="1" applyBorder="1" applyAlignment="1" applyProtection="1">
      <alignment horizontal="left" vertical="center"/>
      <protection locked="0"/>
    </xf>
    <xf numFmtId="0" fontId="26" fillId="10" borderId="39" xfId="0" applyFont="1" applyFill="1" applyBorder="1" applyAlignment="1" applyProtection="1">
      <alignment horizontal="left" vertical="center"/>
      <protection locked="0"/>
    </xf>
    <xf numFmtId="0" fontId="26" fillId="10" borderId="35" xfId="0" applyFont="1" applyFill="1" applyBorder="1" applyAlignment="1" applyProtection="1">
      <alignment horizontal="left" vertical="center"/>
      <protection locked="0"/>
    </xf>
    <xf numFmtId="0" fontId="26" fillId="10" borderId="30" xfId="0" applyFont="1" applyFill="1" applyBorder="1" applyAlignment="1" applyProtection="1">
      <alignment horizontal="left" vertical="center"/>
      <protection locked="0"/>
    </xf>
    <xf numFmtId="0" fontId="26" fillId="10" borderId="0" xfId="0" applyFont="1" applyFill="1" applyAlignment="1" applyProtection="1">
      <alignment horizontal="left" vertical="center"/>
      <protection locked="0"/>
    </xf>
    <xf numFmtId="0" fontId="26" fillId="10" borderId="36" xfId="0" applyFont="1" applyFill="1" applyBorder="1" applyAlignment="1" applyProtection="1">
      <alignment horizontal="left" vertical="center"/>
      <protection locked="0"/>
    </xf>
    <xf numFmtId="0" fontId="26" fillId="10" borderId="31" xfId="0" applyFont="1" applyFill="1" applyBorder="1" applyAlignment="1" applyProtection="1">
      <alignment horizontal="left" vertical="center"/>
      <protection locked="0"/>
    </xf>
    <xf numFmtId="0" fontId="26" fillId="10" borderId="40" xfId="0" applyFont="1" applyFill="1" applyBorder="1" applyAlignment="1" applyProtection="1">
      <alignment horizontal="left" vertical="center"/>
      <protection locked="0"/>
    </xf>
    <xf numFmtId="0" fontId="26" fillId="10" borderId="37" xfId="0" applyFont="1" applyFill="1" applyBorder="1" applyAlignment="1" applyProtection="1">
      <alignment horizontal="left" vertical="center"/>
      <protection locked="0"/>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49" xfId="0" applyFont="1" applyBorder="1" applyAlignment="1">
      <alignment horizontal="center" vertical="center"/>
    </xf>
    <xf numFmtId="0" fontId="10" fillId="11" borderId="15" xfId="0" applyFont="1" applyFill="1" applyBorder="1" applyAlignment="1" applyProtection="1">
      <alignment horizontal="center" vertical="center"/>
      <protection locked="0"/>
    </xf>
    <xf numFmtId="0" fontId="10" fillId="11" borderId="42" xfId="0" applyFont="1" applyFill="1" applyBorder="1" applyAlignment="1" applyProtection="1">
      <alignment horizontal="center" vertical="center"/>
      <protection locked="0"/>
    </xf>
    <xf numFmtId="0" fontId="28" fillId="0" borderId="31" xfId="0" applyFont="1" applyBorder="1" applyAlignment="1">
      <alignment horizontal="center" vertical="center"/>
    </xf>
    <xf numFmtId="0" fontId="28" fillId="0" borderId="40" xfId="0" applyFont="1" applyBorder="1" applyAlignment="1">
      <alignment horizontal="center" vertical="center"/>
    </xf>
    <xf numFmtId="0" fontId="28" fillId="0" borderId="37" xfId="0" applyFont="1" applyBorder="1" applyAlignment="1">
      <alignment horizontal="center" vertical="center"/>
    </xf>
    <xf numFmtId="0" fontId="9" fillId="0" borderId="1" xfId="0" applyFont="1" applyBorder="1" applyAlignment="1">
      <alignment horizontal="left" vertical="center" wrapText="1"/>
    </xf>
    <xf numFmtId="0" fontId="9" fillId="0" borderId="6" xfId="0" applyFont="1" applyBorder="1" applyAlignment="1">
      <alignment horizontal="left" vertical="center" wrapText="1"/>
    </xf>
    <xf numFmtId="0" fontId="10" fillId="0" borderId="53" xfId="0" applyFont="1" applyBorder="1" applyAlignment="1">
      <alignment horizontal="center" vertical="center"/>
    </xf>
    <xf numFmtId="0" fontId="10" fillId="11" borderId="6" xfId="0" applyFont="1" applyFill="1" applyBorder="1" applyAlignment="1" applyProtection="1">
      <alignment horizontal="center" vertical="center"/>
      <protection locked="0"/>
    </xf>
    <xf numFmtId="0" fontId="40" fillId="7" borderId="40" xfId="0" applyFont="1" applyFill="1" applyBorder="1" applyAlignment="1">
      <alignment horizontal="center" vertical="center"/>
    </xf>
    <xf numFmtId="0" fontId="10" fillId="10" borderId="43" xfId="0" applyFont="1" applyFill="1" applyBorder="1" applyAlignment="1" applyProtection="1">
      <alignment horizontal="center" vertical="center"/>
      <protection locked="0"/>
    </xf>
    <xf numFmtId="0" fontId="10" fillId="10" borderId="44" xfId="0" applyFont="1" applyFill="1" applyBorder="1" applyAlignment="1" applyProtection="1">
      <alignment horizontal="center" vertical="center"/>
      <protection locked="0"/>
    </xf>
    <xf numFmtId="0" fontId="10" fillId="10" borderId="45" xfId="0" applyFont="1" applyFill="1" applyBorder="1" applyAlignment="1" applyProtection="1">
      <alignment horizontal="center" vertical="center"/>
      <protection locked="0"/>
    </xf>
    <xf numFmtId="0" fontId="10" fillId="10" borderId="8" xfId="0" applyFont="1" applyFill="1" applyBorder="1" applyAlignment="1" applyProtection="1">
      <alignment horizontal="center" vertical="center"/>
      <protection locked="0"/>
    </xf>
    <xf numFmtId="0" fontId="42" fillId="0" borderId="0" xfId="0" applyFont="1" applyAlignment="1">
      <alignment horizontal="left" vertical="center" wrapText="1"/>
    </xf>
    <xf numFmtId="0" fontId="42" fillId="0" borderId="50" xfId="0" applyFont="1" applyBorder="1" applyAlignment="1">
      <alignment horizontal="left" vertical="center" wrapText="1"/>
    </xf>
    <xf numFmtId="0" fontId="28" fillId="16" borderId="32" xfId="0" applyFont="1" applyFill="1" applyBorder="1" applyAlignment="1">
      <alignment horizontal="center" vertical="center" textRotation="90"/>
    </xf>
    <xf numFmtId="0" fontId="28" fillId="16" borderId="33" xfId="0" applyFont="1" applyFill="1" applyBorder="1" applyAlignment="1">
      <alignment horizontal="center" vertical="center" textRotation="90"/>
    </xf>
    <xf numFmtId="0" fontId="28" fillId="16" borderId="34" xfId="0" applyFont="1" applyFill="1" applyBorder="1" applyAlignment="1">
      <alignment horizontal="center" vertical="center" textRotation="90"/>
    </xf>
    <xf numFmtId="0" fontId="26" fillId="15" borderId="29" xfId="0" applyFont="1" applyFill="1" applyBorder="1" applyAlignment="1" applyProtection="1">
      <alignment horizontal="left" vertical="center"/>
      <protection locked="0"/>
    </xf>
    <xf numFmtId="0" fontId="26" fillId="15" borderId="39" xfId="0" applyFont="1" applyFill="1" applyBorder="1" applyAlignment="1" applyProtection="1">
      <alignment horizontal="left" vertical="center"/>
      <protection locked="0"/>
    </xf>
    <xf numFmtId="0" fontId="26" fillId="15" borderId="35" xfId="0" applyFont="1" applyFill="1" applyBorder="1" applyAlignment="1" applyProtection="1">
      <alignment horizontal="left" vertical="center"/>
      <protection locked="0"/>
    </xf>
    <xf numFmtId="0" fontId="26" fillId="15" borderId="30" xfId="0" applyFont="1" applyFill="1" applyBorder="1" applyAlignment="1" applyProtection="1">
      <alignment horizontal="left" vertical="center"/>
      <protection locked="0"/>
    </xf>
    <xf numFmtId="0" fontId="26" fillId="15" borderId="0" xfId="0" applyFont="1" applyFill="1" applyAlignment="1" applyProtection="1">
      <alignment horizontal="left" vertical="center"/>
      <protection locked="0"/>
    </xf>
    <xf numFmtId="0" fontId="26" fillId="15" borderId="36" xfId="0" applyFont="1" applyFill="1" applyBorder="1" applyAlignment="1" applyProtection="1">
      <alignment horizontal="left" vertical="center"/>
      <protection locked="0"/>
    </xf>
    <xf numFmtId="0" fontId="26" fillId="15" borderId="31" xfId="0" applyFont="1" applyFill="1" applyBorder="1" applyAlignment="1" applyProtection="1">
      <alignment horizontal="left" vertical="center"/>
      <protection locked="0"/>
    </xf>
    <xf numFmtId="0" fontId="26" fillId="15" borderId="40" xfId="0" applyFont="1" applyFill="1" applyBorder="1" applyAlignment="1" applyProtection="1">
      <alignment horizontal="left" vertical="center"/>
      <protection locked="0"/>
    </xf>
    <xf numFmtId="0" fontId="26" fillId="15" borderId="37" xfId="0" applyFont="1" applyFill="1" applyBorder="1" applyAlignment="1" applyProtection="1">
      <alignment horizontal="left" vertical="center"/>
      <protection locked="0"/>
    </xf>
    <xf numFmtId="0" fontId="40" fillId="7" borderId="46" xfId="0" applyFont="1" applyFill="1" applyBorder="1" applyAlignment="1">
      <alignment horizontal="center" vertical="center"/>
    </xf>
    <xf numFmtId="0" fontId="26" fillId="0" borderId="49" xfId="0" applyFont="1" applyBorder="1" applyAlignment="1">
      <alignment horizontal="center" vertical="center"/>
    </xf>
    <xf numFmtId="0" fontId="26" fillId="0" borderId="15" xfId="0" applyFont="1" applyBorder="1" applyAlignment="1">
      <alignment horizontal="left" vertical="center" wrapText="1"/>
    </xf>
    <xf numFmtId="0" fontId="26" fillId="0" borderId="42" xfId="0" applyFont="1" applyBorder="1" applyAlignment="1">
      <alignment horizontal="left" vertical="center" wrapText="1"/>
    </xf>
    <xf numFmtId="0" fontId="26" fillId="0" borderId="14" xfId="0" applyFont="1" applyBorder="1" applyAlignment="1">
      <alignment horizontal="left" vertical="center" wrapText="1"/>
    </xf>
    <xf numFmtId="0" fontId="26" fillId="12" borderId="29" xfId="0" applyFont="1" applyFill="1" applyBorder="1" applyAlignment="1" applyProtection="1">
      <alignment horizontal="left" vertical="center"/>
      <protection locked="0"/>
    </xf>
    <xf numFmtId="0" fontId="26" fillId="12" borderId="39" xfId="0" applyFont="1" applyFill="1" applyBorder="1" applyAlignment="1" applyProtection="1">
      <alignment horizontal="left" vertical="center"/>
      <protection locked="0"/>
    </xf>
    <xf numFmtId="0" fontId="26" fillId="12" borderId="35" xfId="0" applyFont="1" applyFill="1" applyBorder="1" applyAlignment="1" applyProtection="1">
      <alignment horizontal="left" vertical="center"/>
      <protection locked="0"/>
    </xf>
    <xf numFmtId="0" fontId="26" fillId="12" borderId="30" xfId="0" applyFont="1" applyFill="1" applyBorder="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26" fillId="12" borderId="36" xfId="0" applyFont="1" applyFill="1" applyBorder="1" applyAlignment="1" applyProtection="1">
      <alignment horizontal="left" vertical="center"/>
      <protection locked="0"/>
    </xf>
    <xf numFmtId="0" fontId="26" fillId="12" borderId="31" xfId="0" applyFont="1" applyFill="1" applyBorder="1" applyAlignment="1" applyProtection="1">
      <alignment horizontal="left" vertical="center"/>
      <protection locked="0"/>
    </xf>
    <xf numFmtId="0" fontId="26" fillId="12" borderId="40" xfId="0" applyFont="1" applyFill="1" applyBorder="1" applyAlignment="1" applyProtection="1">
      <alignment horizontal="left" vertical="center"/>
      <protection locked="0"/>
    </xf>
    <xf numFmtId="0" fontId="26" fillId="12" borderId="37" xfId="0" applyFont="1" applyFill="1" applyBorder="1" applyAlignment="1" applyProtection="1">
      <alignment horizontal="left" vertical="center"/>
      <protection locked="0"/>
    </xf>
    <xf numFmtId="0" fontId="26" fillId="0" borderId="1" xfId="0" applyFont="1" applyBorder="1" applyAlignment="1">
      <alignment horizontal="center" vertical="center"/>
    </xf>
    <xf numFmtId="0" fontId="1" fillId="0" borderId="1" xfId="0" applyFont="1" applyBorder="1" applyAlignment="1">
      <alignment horizontal="left" vertical="center" wrapText="1"/>
    </xf>
    <xf numFmtId="0" fontId="26" fillId="0" borderId="38" xfId="0" applyFont="1" applyBorder="1" applyAlignment="1">
      <alignment horizontal="center" vertical="center"/>
    </xf>
    <xf numFmtId="0" fontId="32" fillId="0" borderId="14" xfId="0" applyFont="1" applyBorder="1" applyAlignment="1">
      <alignment horizontal="left" vertical="center" wrapText="1"/>
    </xf>
    <xf numFmtId="0" fontId="26" fillId="0" borderId="54" xfId="0" applyFont="1" applyBorder="1" applyAlignment="1">
      <alignment horizontal="left" vertical="center" wrapText="1"/>
    </xf>
    <xf numFmtId="0" fontId="26" fillId="11" borderId="15" xfId="0" applyFont="1" applyFill="1" applyBorder="1" applyAlignment="1" applyProtection="1">
      <alignment horizontal="center" vertical="center"/>
      <protection locked="0"/>
    </xf>
    <xf numFmtId="0" fontId="26" fillId="11" borderId="42" xfId="0" applyFont="1" applyFill="1" applyBorder="1" applyAlignment="1" applyProtection="1">
      <alignment horizontal="center" vertical="center"/>
      <protection locked="0"/>
    </xf>
    <xf numFmtId="0" fontId="26" fillId="11" borderId="14" xfId="0" applyFont="1" applyFill="1" applyBorder="1" applyAlignment="1" applyProtection="1">
      <alignment horizontal="center" vertical="center"/>
      <protection locked="0"/>
    </xf>
    <xf numFmtId="0" fontId="28" fillId="0" borderId="29" xfId="0" applyFont="1" applyBorder="1" applyAlignment="1">
      <alignment horizontal="center" vertical="center"/>
    </xf>
    <xf numFmtId="0" fontId="28" fillId="0" borderId="35" xfId="0" applyFont="1" applyBorder="1" applyAlignment="1">
      <alignment horizontal="center" vertical="center"/>
    </xf>
    <xf numFmtId="0" fontId="26" fillId="10" borderId="1" xfId="0" applyFont="1" applyFill="1" applyBorder="1" applyAlignment="1" applyProtection="1">
      <alignment horizontal="center" vertical="center"/>
      <protection locked="0"/>
    </xf>
    <xf numFmtId="0" fontId="26" fillId="10" borderId="23" xfId="0" applyFont="1" applyFill="1" applyBorder="1" applyAlignment="1" applyProtection="1">
      <alignment horizontal="center" vertical="center"/>
      <protection locked="0"/>
    </xf>
    <xf numFmtId="0" fontId="26" fillId="10" borderId="6" xfId="0" applyFont="1" applyFill="1" applyBorder="1" applyAlignment="1" applyProtection="1">
      <alignment horizontal="center" vertical="center"/>
      <protection locked="0"/>
    </xf>
    <xf numFmtId="0" fontId="26" fillId="10" borderId="25" xfId="0" applyFont="1" applyFill="1" applyBorder="1" applyAlignment="1" applyProtection="1">
      <alignment horizontal="center" vertical="center"/>
      <protection locked="0"/>
    </xf>
    <xf numFmtId="0" fontId="26" fillId="10" borderId="20" xfId="0" applyFont="1" applyFill="1" applyBorder="1" applyAlignment="1" applyProtection="1">
      <alignment horizontal="center" vertical="center"/>
      <protection locked="0"/>
    </xf>
    <xf numFmtId="0" fontId="26" fillId="10" borderId="21" xfId="0" applyFont="1" applyFill="1" applyBorder="1" applyAlignment="1" applyProtection="1">
      <alignment horizontal="center" vertical="center"/>
      <protection locked="0"/>
    </xf>
    <xf numFmtId="0" fontId="26" fillId="0" borderId="19" xfId="0" applyFont="1" applyBorder="1" applyAlignment="1">
      <alignment horizontal="center" vertical="center"/>
    </xf>
    <xf numFmtId="0" fontId="26" fillId="0" borderId="22" xfId="0" applyFont="1" applyBorder="1" applyAlignment="1">
      <alignment horizontal="center" vertical="center"/>
    </xf>
    <xf numFmtId="0" fontId="55" fillId="11" borderId="29" xfId="0" applyFont="1" applyFill="1" applyBorder="1" applyAlignment="1" applyProtection="1">
      <alignment horizontal="left" vertical="top" wrapText="1"/>
      <protection locked="0"/>
    </xf>
    <xf numFmtId="0" fontId="55" fillId="11" borderId="30" xfId="0" applyFont="1" applyFill="1" applyBorder="1" applyAlignment="1" applyProtection="1">
      <alignment horizontal="left" vertical="top" wrapText="1"/>
      <protection locked="0"/>
    </xf>
    <xf numFmtId="0" fontId="55" fillId="11" borderId="31" xfId="0" applyFont="1" applyFill="1" applyBorder="1" applyAlignment="1" applyProtection="1">
      <alignment horizontal="left" vertical="top" wrapText="1"/>
      <protection locked="0"/>
    </xf>
    <xf numFmtId="0" fontId="55" fillId="10" borderId="32" xfId="0" applyFont="1" applyFill="1" applyBorder="1" applyAlignment="1" applyProtection="1">
      <alignment horizontal="left" vertical="top" wrapText="1"/>
      <protection locked="0"/>
    </xf>
    <xf numFmtId="0" fontId="55" fillId="10" borderId="33" xfId="0" applyFont="1" applyFill="1" applyBorder="1" applyAlignment="1" applyProtection="1">
      <alignment horizontal="left" vertical="top" wrapText="1"/>
      <protection locked="0"/>
    </xf>
    <xf numFmtId="0" fontId="55" fillId="10" borderId="34" xfId="0" applyFont="1" applyFill="1" applyBorder="1" applyAlignment="1" applyProtection="1">
      <alignment horizontal="left" vertical="top" wrapText="1"/>
      <protection locked="0"/>
    </xf>
    <xf numFmtId="0" fontId="46" fillId="2" borderId="0" xfId="0" applyFont="1" applyFill="1" applyAlignment="1">
      <alignment horizontal="center" vertical="center"/>
    </xf>
    <xf numFmtId="0" fontId="47" fillId="2" borderId="0" xfId="0" applyFont="1" applyFill="1" applyAlignment="1">
      <alignment horizontal="center" vertical="center"/>
    </xf>
    <xf numFmtId="0" fontId="48" fillId="3" borderId="61" xfId="0" applyFont="1" applyFill="1" applyBorder="1" applyAlignment="1">
      <alignment horizontal="center" vertical="center"/>
    </xf>
    <xf numFmtId="0" fontId="49" fillId="5" borderId="1" xfId="0" applyFont="1" applyFill="1" applyBorder="1" applyAlignment="1">
      <alignment horizontal="left" vertical="center" wrapText="1"/>
    </xf>
    <xf numFmtId="0" fontId="50" fillId="3" borderId="1" xfId="0" applyFont="1" applyFill="1" applyBorder="1" applyAlignment="1">
      <alignment horizontal="center" vertical="center"/>
    </xf>
    <xf numFmtId="0" fontId="51" fillId="3" borderId="1" xfId="0" applyFont="1" applyFill="1" applyBorder="1" applyAlignment="1">
      <alignment horizontal="center" vertical="center"/>
    </xf>
    <xf numFmtId="0" fontId="52" fillId="5" borderId="1" xfId="0" applyFont="1" applyFill="1" applyBorder="1" applyAlignment="1">
      <alignment horizontal="center" vertical="center"/>
    </xf>
    <xf numFmtId="0" fontId="53" fillId="13" borderId="1" xfId="0" applyFont="1" applyFill="1" applyBorder="1" applyAlignment="1">
      <alignment horizontal="center" vertical="center"/>
    </xf>
    <xf numFmtId="0" fontId="54" fillId="4" borderId="1" xfId="0" applyFont="1" applyFill="1" applyBorder="1" applyAlignment="1">
      <alignment horizontal="center" vertical="center"/>
    </xf>
    <xf numFmtId="0" fontId="50" fillId="17" borderId="59" xfId="0" applyFont="1" applyFill="1" applyBorder="1" applyAlignment="1">
      <alignment horizontal="center" vertical="center"/>
    </xf>
    <xf numFmtId="0" fontId="40" fillId="7" borderId="56" xfId="0" applyFont="1" applyFill="1" applyBorder="1" applyAlignment="1">
      <alignment horizontal="center" vertical="center"/>
    </xf>
    <xf numFmtId="0" fontId="40" fillId="7" borderId="54" xfId="0" applyFont="1" applyFill="1" applyBorder="1" applyAlignment="1">
      <alignment horizontal="center" vertical="center"/>
    </xf>
    <xf numFmtId="0" fontId="50" fillId="3" borderId="5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57150</xdr:colOff>
      <xdr:row>0</xdr:row>
      <xdr:rowOff>171450</xdr:rowOff>
    </xdr:from>
    <xdr:to>
      <xdr:col>2</xdr:col>
      <xdr:colOff>762000</xdr:colOff>
      <xdr:row>3</xdr:row>
      <xdr:rowOff>38100</xdr:rowOff>
    </xdr:to>
    <xdr:pic>
      <xdr:nvPicPr>
        <xdr:cNvPr id="1112" name="Picture 1">
          <a:extLst>
            <a:ext uri="{FF2B5EF4-FFF2-40B4-BE49-F238E27FC236}">
              <a16:creationId xmlns:a16="http://schemas.microsoft.com/office/drawing/2014/main" id="{ED2673A2-F25D-FF73-39AA-3961FA769C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71450"/>
          <a:ext cx="19240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180975</xdr:colOff>
      <xdr:row>1</xdr:row>
      <xdr:rowOff>28575</xdr:rowOff>
    </xdr:from>
    <xdr:to>
      <xdr:col>2</xdr:col>
      <xdr:colOff>2314575</xdr:colOff>
      <xdr:row>5</xdr:row>
      <xdr:rowOff>133350</xdr:rowOff>
    </xdr:to>
    <xdr:pic>
      <xdr:nvPicPr>
        <xdr:cNvPr id="2145" name="Picture 1">
          <a:extLst>
            <a:ext uri="{FF2B5EF4-FFF2-40B4-BE49-F238E27FC236}">
              <a16:creationId xmlns:a16="http://schemas.microsoft.com/office/drawing/2014/main" id="{6B4CB99E-D047-E3EE-6B6A-26BC242642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28600"/>
          <a:ext cx="27813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0C5A-EFC4-4969-8B4F-73FAF1D38207}">
  <dimension ref="A1:CO482"/>
  <sheetViews>
    <sheetView showGridLines="0" zoomScaleNormal="100" workbookViewId="0">
      <selection activeCell="E4" sqref="E4:J4"/>
    </sheetView>
  </sheetViews>
  <sheetFormatPr defaultColWidth="9.109375" defaultRowHeight="14.4" x14ac:dyDescent="0.3"/>
  <cols>
    <col min="1" max="2" width="9.109375" style="3"/>
    <col min="3" max="3" width="18.109375" style="1" bestFit="1" customWidth="1"/>
    <col min="4" max="4" width="10.6640625" style="3" bestFit="1" customWidth="1"/>
    <col min="5" max="5" width="17.109375" style="3" customWidth="1"/>
    <col min="6" max="6" width="11.88671875" style="3" customWidth="1"/>
    <col min="7" max="7" width="15.88671875" style="3" customWidth="1"/>
    <col min="8" max="8" width="21.44140625" style="3" customWidth="1"/>
    <col min="9" max="9" width="15.5546875" style="3" customWidth="1"/>
    <col min="10" max="10" width="35" style="3" customWidth="1"/>
    <col min="11" max="93" width="9.109375" style="1"/>
    <col min="94" max="16384" width="9.109375" style="3"/>
  </cols>
  <sheetData>
    <row r="1" spans="1:11" s="1" customFormat="1" x14ac:dyDescent="0.3">
      <c r="C1" s="44"/>
      <c r="D1" s="44"/>
      <c r="E1" s="44"/>
      <c r="F1" s="44"/>
      <c r="G1" s="44"/>
      <c r="H1" s="44"/>
      <c r="I1" s="44"/>
      <c r="J1" s="44"/>
    </row>
    <row r="2" spans="1:11" s="1" customFormat="1" ht="23.4" x14ac:dyDescent="0.3">
      <c r="C2" s="44"/>
      <c r="D2" s="44"/>
      <c r="E2" s="244" t="s">
        <v>0</v>
      </c>
      <c r="F2" s="244"/>
      <c r="G2" s="244"/>
      <c r="H2" s="244"/>
      <c r="I2" s="244"/>
      <c r="J2" s="244"/>
    </row>
    <row r="3" spans="1:11" s="1" customFormat="1" ht="18" x14ac:dyDescent="0.3">
      <c r="C3" s="44"/>
      <c r="D3" s="44"/>
      <c r="E3" s="45"/>
      <c r="F3" s="45"/>
      <c r="G3" s="46"/>
      <c r="H3" s="45"/>
      <c r="I3" s="44"/>
      <c r="J3" s="44"/>
    </row>
    <row r="4" spans="1:11" s="1" customFormat="1" ht="18" x14ac:dyDescent="0.3">
      <c r="C4" s="44"/>
      <c r="D4" s="44"/>
      <c r="E4" s="245" t="s">
        <v>1</v>
      </c>
      <c r="F4" s="245"/>
      <c r="G4" s="245"/>
      <c r="H4" s="245"/>
      <c r="I4" s="245"/>
      <c r="J4" s="245"/>
    </row>
    <row r="5" spans="1:11" s="1" customFormat="1" x14ac:dyDescent="0.3">
      <c r="C5" s="44"/>
      <c r="D5" s="44"/>
      <c r="E5" s="44"/>
      <c r="F5" s="44"/>
      <c r="G5" s="44"/>
      <c r="H5" s="44"/>
      <c r="I5" s="44"/>
      <c r="J5" s="44"/>
    </row>
    <row r="6" spans="1:11" ht="15.6" x14ac:dyDescent="0.3">
      <c r="A6" s="1"/>
      <c r="B6" s="1"/>
      <c r="C6" s="44"/>
      <c r="D6" s="251" t="s">
        <v>2</v>
      </c>
      <c r="E6" s="251"/>
      <c r="F6" s="251"/>
      <c r="G6" s="251"/>
      <c r="H6" s="251"/>
      <c r="I6" s="251"/>
      <c r="J6" s="251"/>
      <c r="K6" s="2"/>
    </row>
    <row r="7" spans="1:11" x14ac:dyDescent="0.3">
      <c r="A7" s="1"/>
      <c r="B7" s="1"/>
      <c r="C7" s="44"/>
      <c r="D7" s="250" t="s">
        <v>3</v>
      </c>
      <c r="E7" s="250"/>
      <c r="F7" s="250"/>
      <c r="G7" s="250"/>
      <c r="H7" s="250"/>
      <c r="I7" s="250"/>
      <c r="J7" s="250"/>
    </row>
    <row r="8" spans="1:11" ht="28.8" x14ac:dyDescent="0.3">
      <c r="A8" s="1"/>
      <c r="B8" s="1"/>
      <c r="C8" s="44"/>
      <c r="D8" s="5" t="s">
        <v>4</v>
      </c>
      <c r="E8" s="5" t="s">
        <v>5</v>
      </c>
      <c r="F8" s="5" t="s">
        <v>6</v>
      </c>
      <c r="G8" s="6" t="s">
        <v>7</v>
      </c>
      <c r="H8" s="5" t="s">
        <v>8</v>
      </c>
      <c r="I8" s="5" t="s">
        <v>9</v>
      </c>
      <c r="J8" s="7" t="s">
        <v>10</v>
      </c>
    </row>
    <row r="9" spans="1:11" x14ac:dyDescent="0.3">
      <c r="A9" s="1"/>
      <c r="B9" s="1"/>
      <c r="C9" s="10" t="s">
        <v>11</v>
      </c>
      <c r="D9" s="8">
        <v>60</v>
      </c>
      <c r="E9" s="8">
        <v>50</v>
      </c>
      <c r="F9" s="8">
        <v>40</v>
      </c>
      <c r="G9" s="8">
        <v>35</v>
      </c>
      <c r="H9" s="8">
        <v>10</v>
      </c>
      <c r="I9" s="8">
        <v>5</v>
      </c>
      <c r="J9" s="9">
        <v>10</v>
      </c>
    </row>
    <row r="10" spans="1:11" x14ac:dyDescent="0.3">
      <c r="A10" s="1"/>
      <c r="B10" s="1"/>
      <c r="C10" s="10" t="s">
        <v>12</v>
      </c>
      <c r="D10" s="8">
        <v>60</v>
      </c>
      <c r="E10" s="8">
        <v>50</v>
      </c>
      <c r="F10" s="8">
        <v>40</v>
      </c>
      <c r="G10" s="8">
        <v>35</v>
      </c>
      <c r="H10" s="8">
        <v>10</v>
      </c>
      <c r="I10" s="8">
        <v>5</v>
      </c>
      <c r="J10" s="9">
        <v>10</v>
      </c>
    </row>
    <row r="11" spans="1:11" x14ac:dyDescent="0.3">
      <c r="A11" s="1"/>
      <c r="B11" s="1"/>
      <c r="C11" s="10" t="s">
        <v>13</v>
      </c>
      <c r="D11" s="8">
        <v>50</v>
      </c>
      <c r="E11" s="8">
        <v>60</v>
      </c>
      <c r="F11" s="8">
        <v>40</v>
      </c>
      <c r="G11" s="8">
        <v>35</v>
      </c>
      <c r="H11" s="8">
        <v>10</v>
      </c>
      <c r="I11" s="8">
        <v>5</v>
      </c>
      <c r="J11" s="9">
        <v>10</v>
      </c>
    </row>
    <row r="12" spans="1:11" x14ac:dyDescent="0.3">
      <c r="A12" s="1"/>
      <c r="B12" s="1"/>
      <c r="C12" s="10" t="s">
        <v>14</v>
      </c>
      <c r="D12" s="8">
        <v>40</v>
      </c>
      <c r="E12" s="8">
        <v>60</v>
      </c>
      <c r="F12" s="8">
        <v>40</v>
      </c>
      <c r="G12" s="8">
        <v>45</v>
      </c>
      <c r="H12" s="8">
        <v>10</v>
      </c>
      <c r="I12" s="8">
        <v>5</v>
      </c>
      <c r="J12" s="9">
        <v>10</v>
      </c>
    </row>
    <row r="13" spans="1:11" ht="40.799999999999997" x14ac:dyDescent="0.3">
      <c r="A13" s="1"/>
      <c r="B13" s="1"/>
      <c r="C13" s="44"/>
      <c r="D13" s="252" t="s">
        <v>15</v>
      </c>
      <c r="E13" s="252"/>
      <c r="F13" s="252"/>
      <c r="G13" s="252"/>
      <c r="H13" s="252"/>
      <c r="I13" s="252"/>
      <c r="J13" s="30" t="s">
        <v>16</v>
      </c>
    </row>
    <row r="14" spans="1:11" x14ac:dyDescent="0.3">
      <c r="A14" s="1"/>
      <c r="B14" s="1"/>
      <c r="C14" s="44"/>
      <c r="D14" s="44"/>
      <c r="E14" s="44"/>
      <c r="F14" s="44"/>
      <c r="G14" s="44"/>
      <c r="H14" s="44"/>
      <c r="I14" s="44"/>
      <c r="J14" s="44"/>
    </row>
    <row r="15" spans="1:11" s="1" customFormat="1" x14ac:dyDescent="0.3">
      <c r="C15" s="44"/>
      <c r="D15" s="246" t="s">
        <v>17</v>
      </c>
      <c r="E15" s="246"/>
      <c r="F15" s="246"/>
      <c r="G15" s="246"/>
      <c r="H15" s="246"/>
      <c r="I15" s="246"/>
      <c r="J15" s="246"/>
    </row>
    <row r="16" spans="1:11" s="1" customFormat="1" x14ac:dyDescent="0.3">
      <c r="C16" s="44"/>
      <c r="D16" s="44"/>
      <c r="E16" s="44"/>
      <c r="F16" s="44"/>
      <c r="G16" s="44"/>
      <c r="H16" s="44"/>
      <c r="I16" s="44"/>
      <c r="J16" s="44"/>
    </row>
    <row r="17" spans="1:10" ht="15.75" customHeight="1" x14ac:dyDescent="0.3">
      <c r="A17" s="1"/>
      <c r="B17" s="1"/>
      <c r="C17" s="44"/>
      <c r="D17" s="248" t="s">
        <v>18</v>
      </c>
      <c r="E17" s="248"/>
      <c r="F17" s="248"/>
      <c r="G17" s="248"/>
      <c r="H17" s="248"/>
      <c r="I17" s="248"/>
      <c r="J17" s="248"/>
    </row>
    <row r="18" spans="1:10" x14ac:dyDescent="0.3">
      <c r="A18" s="1"/>
      <c r="B18" s="1"/>
      <c r="C18" s="44"/>
      <c r="D18" s="249" t="s">
        <v>19</v>
      </c>
      <c r="E18" s="249"/>
      <c r="F18" s="249"/>
      <c r="G18" s="249"/>
      <c r="H18" s="249"/>
      <c r="I18" s="249"/>
      <c r="J18" s="249"/>
    </row>
    <row r="19" spans="1:10" ht="36.75" customHeight="1" x14ac:dyDescent="0.3">
      <c r="A19" s="1"/>
      <c r="B19" s="1"/>
      <c r="C19" s="44"/>
      <c r="D19" s="11" t="s">
        <v>20</v>
      </c>
      <c r="E19" s="247" t="s">
        <v>21</v>
      </c>
      <c r="F19" s="247"/>
      <c r="G19" s="247"/>
      <c r="H19" s="247"/>
      <c r="I19" s="247"/>
      <c r="J19" s="247"/>
    </row>
    <row r="20" spans="1:10" ht="30" customHeight="1" x14ac:dyDescent="0.3">
      <c r="A20" s="1"/>
      <c r="B20" s="1"/>
      <c r="C20" s="44"/>
      <c r="D20" s="11" t="s">
        <v>22</v>
      </c>
      <c r="E20" s="247" t="s">
        <v>23</v>
      </c>
      <c r="F20" s="247"/>
      <c r="G20" s="247"/>
      <c r="H20" s="247"/>
      <c r="I20" s="247"/>
      <c r="J20" s="247"/>
    </row>
    <row r="21" spans="1:10" s="1" customFormat="1" x14ac:dyDescent="0.3">
      <c r="E21" s="4"/>
      <c r="F21" s="4"/>
      <c r="G21" s="4"/>
      <c r="H21" s="4"/>
      <c r="I21" s="4"/>
      <c r="J21" s="4"/>
    </row>
    <row r="22" spans="1:10" s="1" customFormat="1" x14ac:dyDescent="0.3"/>
    <row r="23" spans="1:10" s="1" customFormat="1" x14ac:dyDescent="0.3"/>
    <row r="24" spans="1:10" s="1" customFormat="1" x14ac:dyDescent="0.3"/>
    <row r="25" spans="1:10" s="1" customFormat="1" x14ac:dyDescent="0.3"/>
    <row r="26" spans="1:10" s="1" customFormat="1" x14ac:dyDescent="0.3"/>
    <row r="27" spans="1:10" s="1" customFormat="1" x14ac:dyDescent="0.3"/>
    <row r="28" spans="1:10" s="1" customFormat="1" x14ac:dyDescent="0.3"/>
    <row r="29" spans="1:10" s="1" customFormat="1" x14ac:dyDescent="0.3"/>
    <row r="30" spans="1:10" s="1" customFormat="1" x14ac:dyDescent="0.3"/>
    <row r="31" spans="1:10" s="1" customFormat="1" x14ac:dyDescent="0.3"/>
    <row r="32" spans="1:10" s="1" customFormat="1" x14ac:dyDescent="0.3"/>
    <row r="33" s="1" customFormat="1" x14ac:dyDescent="0.3"/>
    <row r="34" s="1" customFormat="1" x14ac:dyDescent="0.3"/>
    <row r="35" s="1" customFormat="1" x14ac:dyDescent="0.3"/>
    <row r="36" s="1" customFormat="1" x14ac:dyDescent="0.3"/>
    <row r="37" s="1" customFormat="1" x14ac:dyDescent="0.3"/>
    <row r="38" s="1" customFormat="1" x14ac:dyDescent="0.3"/>
    <row r="39" s="1" customFormat="1" x14ac:dyDescent="0.3"/>
    <row r="40" s="1" customFormat="1" x14ac:dyDescent="0.3"/>
    <row r="41" s="1" customFormat="1" x14ac:dyDescent="0.3"/>
    <row r="42" s="1" customFormat="1" x14ac:dyDescent="0.3"/>
    <row r="43" s="1" customFormat="1" x14ac:dyDescent="0.3"/>
    <row r="44" s="1" customFormat="1" x14ac:dyDescent="0.3"/>
    <row r="45" s="1" customFormat="1" x14ac:dyDescent="0.3"/>
    <row r="46" s="1" customFormat="1" x14ac:dyDescent="0.3"/>
    <row r="47" s="1" customFormat="1" x14ac:dyDescent="0.3"/>
    <row r="48" s="1" customFormat="1" x14ac:dyDescent="0.3"/>
    <row r="49" s="1" customFormat="1" x14ac:dyDescent="0.3"/>
    <row r="50" s="1" customFormat="1" x14ac:dyDescent="0.3"/>
    <row r="51" s="1" customFormat="1" x14ac:dyDescent="0.3"/>
    <row r="52" s="1" customFormat="1" x14ac:dyDescent="0.3"/>
    <row r="53" s="1" customFormat="1" x14ac:dyDescent="0.3"/>
    <row r="54" s="1" customFormat="1" x14ac:dyDescent="0.3"/>
    <row r="55" s="1" customFormat="1" x14ac:dyDescent="0.3"/>
    <row r="56" s="1" customFormat="1" x14ac:dyDescent="0.3"/>
    <row r="57" s="1" customFormat="1" x14ac:dyDescent="0.3"/>
    <row r="58" s="1" customFormat="1" x14ac:dyDescent="0.3"/>
    <row r="59" s="1" customFormat="1" x14ac:dyDescent="0.3"/>
    <row r="60" s="1" customFormat="1" x14ac:dyDescent="0.3"/>
    <row r="61" s="1" customFormat="1" x14ac:dyDescent="0.3"/>
    <row r="62" s="1" customFormat="1" x14ac:dyDescent="0.3"/>
    <row r="63" s="1" customFormat="1" x14ac:dyDescent="0.3"/>
    <row r="64" s="1" customFormat="1" x14ac:dyDescent="0.3"/>
    <row r="65" s="1" customFormat="1" x14ac:dyDescent="0.3"/>
    <row r="66" s="1" customFormat="1" x14ac:dyDescent="0.3"/>
    <row r="67" s="1" customFormat="1" x14ac:dyDescent="0.3"/>
    <row r="68" s="1" customFormat="1" x14ac:dyDescent="0.3"/>
    <row r="69" s="1" customFormat="1" x14ac:dyDescent="0.3"/>
    <row r="70" s="1" customFormat="1" x14ac:dyDescent="0.3"/>
    <row r="71" s="1" customFormat="1" x14ac:dyDescent="0.3"/>
    <row r="72" s="1" customFormat="1" x14ac:dyDescent="0.3"/>
    <row r="73" s="1" customFormat="1" x14ac:dyDescent="0.3"/>
    <row r="74" s="1" customFormat="1" x14ac:dyDescent="0.3"/>
    <row r="75" s="1" customFormat="1" x14ac:dyDescent="0.3"/>
    <row r="76" s="1" customFormat="1" x14ac:dyDescent="0.3"/>
    <row r="77" s="1" customFormat="1" x14ac:dyDescent="0.3"/>
    <row r="78" s="1" customFormat="1" x14ac:dyDescent="0.3"/>
    <row r="79" s="1" customFormat="1" x14ac:dyDescent="0.3"/>
    <row r="80" s="1" customFormat="1" x14ac:dyDescent="0.3"/>
    <row r="81" s="1" customFormat="1" x14ac:dyDescent="0.3"/>
    <row r="82" s="1" customFormat="1" x14ac:dyDescent="0.3"/>
    <row r="83" s="1" customFormat="1" x14ac:dyDescent="0.3"/>
    <row r="84" s="1" customFormat="1" x14ac:dyDescent="0.3"/>
    <row r="85" s="1" customFormat="1" x14ac:dyDescent="0.3"/>
    <row r="86" s="1" customFormat="1" x14ac:dyDescent="0.3"/>
    <row r="87" s="1" customFormat="1" x14ac:dyDescent="0.3"/>
    <row r="88" s="1" customFormat="1" x14ac:dyDescent="0.3"/>
    <row r="89" s="1" customFormat="1" x14ac:dyDescent="0.3"/>
    <row r="90" s="1" customFormat="1" x14ac:dyDescent="0.3"/>
    <row r="91" s="1" customFormat="1" x14ac:dyDescent="0.3"/>
    <row r="92" s="1" customFormat="1" x14ac:dyDescent="0.3"/>
    <row r="93" s="1" customFormat="1" x14ac:dyDescent="0.3"/>
    <row r="94" s="1" customFormat="1" x14ac:dyDescent="0.3"/>
    <row r="95" s="1" customFormat="1" x14ac:dyDescent="0.3"/>
    <row r="96"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row r="122" s="1" customFormat="1" x14ac:dyDescent="0.3"/>
    <row r="123" s="1" customFormat="1" x14ac:dyDescent="0.3"/>
    <row r="124" s="1" customFormat="1" x14ac:dyDescent="0.3"/>
    <row r="125" s="1" customFormat="1" x14ac:dyDescent="0.3"/>
    <row r="126" s="1" customFormat="1" x14ac:dyDescent="0.3"/>
    <row r="127" s="1" customFormat="1" x14ac:dyDescent="0.3"/>
    <row r="128" s="1" customFormat="1" x14ac:dyDescent="0.3"/>
    <row r="129" s="1" customFormat="1" x14ac:dyDescent="0.3"/>
    <row r="130" s="1" customFormat="1" x14ac:dyDescent="0.3"/>
    <row r="131" s="1" customFormat="1" x14ac:dyDescent="0.3"/>
    <row r="132" s="1" customFormat="1" x14ac:dyDescent="0.3"/>
    <row r="133" s="1" customFormat="1" x14ac:dyDescent="0.3"/>
    <row r="134" s="1" customFormat="1" x14ac:dyDescent="0.3"/>
    <row r="135" s="1" customFormat="1" x14ac:dyDescent="0.3"/>
    <row r="136" s="1" customFormat="1" x14ac:dyDescent="0.3"/>
    <row r="137" s="1" customFormat="1" x14ac:dyDescent="0.3"/>
    <row r="138" s="1" customFormat="1" x14ac:dyDescent="0.3"/>
    <row r="139" s="1" customFormat="1" x14ac:dyDescent="0.3"/>
    <row r="140" s="1" customFormat="1" x14ac:dyDescent="0.3"/>
    <row r="141" s="1" customFormat="1" x14ac:dyDescent="0.3"/>
    <row r="142" s="1" customFormat="1" x14ac:dyDescent="0.3"/>
    <row r="143" s="1" customFormat="1" x14ac:dyDescent="0.3"/>
    <row r="144" s="1" customFormat="1" x14ac:dyDescent="0.3"/>
    <row r="145" s="1" customFormat="1" x14ac:dyDescent="0.3"/>
    <row r="146" s="1" customFormat="1" x14ac:dyDescent="0.3"/>
    <row r="147" s="1" customFormat="1" x14ac:dyDescent="0.3"/>
    <row r="148" s="1" customFormat="1" x14ac:dyDescent="0.3"/>
    <row r="149" s="1" customFormat="1" x14ac:dyDescent="0.3"/>
    <row r="150" s="1" customFormat="1" x14ac:dyDescent="0.3"/>
    <row r="151" s="1" customFormat="1" x14ac:dyDescent="0.3"/>
    <row r="152" s="1" customFormat="1" x14ac:dyDescent="0.3"/>
    <row r="153" s="1" customFormat="1" x14ac:dyDescent="0.3"/>
    <row r="154" s="1" customFormat="1" x14ac:dyDescent="0.3"/>
    <row r="155" s="1" customFormat="1" x14ac:dyDescent="0.3"/>
    <row r="156" s="1" customFormat="1" x14ac:dyDescent="0.3"/>
    <row r="157" s="1" customFormat="1" x14ac:dyDescent="0.3"/>
    <row r="158" s="1" customFormat="1" x14ac:dyDescent="0.3"/>
    <row r="159" s="1" customFormat="1" x14ac:dyDescent="0.3"/>
    <row r="160" s="1" customFormat="1" x14ac:dyDescent="0.3"/>
    <row r="161" s="1" customFormat="1" x14ac:dyDescent="0.3"/>
    <row r="162" s="1" customFormat="1" x14ac:dyDescent="0.3"/>
    <row r="163" s="1" customFormat="1" x14ac:dyDescent="0.3"/>
    <row r="164" s="1" customFormat="1" x14ac:dyDescent="0.3"/>
    <row r="165" s="1" customFormat="1" x14ac:dyDescent="0.3"/>
    <row r="166" s="1" customFormat="1" x14ac:dyDescent="0.3"/>
    <row r="167" s="1" customFormat="1" x14ac:dyDescent="0.3"/>
    <row r="168" s="1" customFormat="1" x14ac:dyDescent="0.3"/>
    <row r="169" s="1" customFormat="1" x14ac:dyDescent="0.3"/>
    <row r="170" s="1" customFormat="1" x14ac:dyDescent="0.3"/>
    <row r="171" s="1" customFormat="1" x14ac:dyDescent="0.3"/>
    <row r="172" s="1" customFormat="1" x14ac:dyDescent="0.3"/>
    <row r="173" s="1" customFormat="1" x14ac:dyDescent="0.3"/>
    <row r="174" s="1" customFormat="1" x14ac:dyDescent="0.3"/>
    <row r="175" s="1" customFormat="1" x14ac:dyDescent="0.3"/>
    <row r="176" s="1" customFormat="1" x14ac:dyDescent="0.3"/>
    <row r="177" s="1" customFormat="1" x14ac:dyDescent="0.3"/>
    <row r="178" s="1" customFormat="1" x14ac:dyDescent="0.3"/>
    <row r="179" s="1" customFormat="1" x14ac:dyDescent="0.3"/>
    <row r="180" s="1" customFormat="1" x14ac:dyDescent="0.3"/>
    <row r="181" s="1" customFormat="1" x14ac:dyDescent="0.3"/>
    <row r="182" s="1" customFormat="1" x14ac:dyDescent="0.3"/>
    <row r="183" s="1" customFormat="1" x14ac:dyDescent="0.3"/>
    <row r="184" s="1" customFormat="1" x14ac:dyDescent="0.3"/>
    <row r="185" s="1" customFormat="1" x14ac:dyDescent="0.3"/>
    <row r="186" s="1" customFormat="1" x14ac:dyDescent="0.3"/>
    <row r="187" s="1" customFormat="1" x14ac:dyDescent="0.3"/>
    <row r="188" s="1" customFormat="1" x14ac:dyDescent="0.3"/>
    <row r="189" s="1" customFormat="1" x14ac:dyDescent="0.3"/>
    <row r="190" s="1" customFormat="1" x14ac:dyDescent="0.3"/>
    <row r="191" s="1" customFormat="1" x14ac:dyDescent="0.3"/>
    <row r="192" s="1" customFormat="1" x14ac:dyDescent="0.3"/>
    <row r="193" s="1" customFormat="1" x14ac:dyDescent="0.3"/>
    <row r="194" s="1" customFormat="1" x14ac:dyDescent="0.3"/>
    <row r="195" s="1" customFormat="1" x14ac:dyDescent="0.3"/>
    <row r="196" s="1" customFormat="1" x14ac:dyDescent="0.3"/>
    <row r="197" s="1" customFormat="1" x14ac:dyDescent="0.3"/>
    <row r="198" s="1" customFormat="1" x14ac:dyDescent="0.3"/>
    <row r="199" s="1" customFormat="1" x14ac:dyDescent="0.3"/>
    <row r="200" s="1" customFormat="1" x14ac:dyDescent="0.3"/>
    <row r="201" s="1" customFormat="1" x14ac:dyDescent="0.3"/>
    <row r="202" s="1" customFormat="1" x14ac:dyDescent="0.3"/>
    <row r="203" s="1" customFormat="1" x14ac:dyDescent="0.3"/>
    <row r="204" s="1" customFormat="1" x14ac:dyDescent="0.3"/>
    <row r="205" s="1" customFormat="1" x14ac:dyDescent="0.3"/>
    <row r="206" s="1" customFormat="1" x14ac:dyDescent="0.3"/>
    <row r="207" s="1" customFormat="1" x14ac:dyDescent="0.3"/>
    <row r="208" s="1" customFormat="1" x14ac:dyDescent="0.3"/>
    <row r="209" s="1" customFormat="1" x14ac:dyDescent="0.3"/>
    <row r="210" s="1" customFormat="1" x14ac:dyDescent="0.3"/>
    <row r="211" s="1" customFormat="1" x14ac:dyDescent="0.3"/>
    <row r="212" s="1" customFormat="1" x14ac:dyDescent="0.3"/>
    <row r="213" s="1" customFormat="1" x14ac:dyDescent="0.3"/>
    <row r="214" s="1" customFormat="1" x14ac:dyDescent="0.3"/>
    <row r="215" s="1" customFormat="1" x14ac:dyDescent="0.3"/>
    <row r="216" s="1" customFormat="1" x14ac:dyDescent="0.3"/>
    <row r="217" s="1" customFormat="1" x14ac:dyDescent="0.3"/>
    <row r="218" s="1" customFormat="1" x14ac:dyDescent="0.3"/>
    <row r="219" s="1" customFormat="1" x14ac:dyDescent="0.3"/>
    <row r="220" s="1" customFormat="1" x14ac:dyDescent="0.3"/>
    <row r="221" s="1" customFormat="1" x14ac:dyDescent="0.3"/>
    <row r="222" s="1" customFormat="1" x14ac:dyDescent="0.3"/>
    <row r="223" s="1" customFormat="1" x14ac:dyDescent="0.3"/>
    <row r="224" s="1" customFormat="1" x14ac:dyDescent="0.3"/>
    <row r="225" s="1" customFormat="1" x14ac:dyDescent="0.3"/>
    <row r="226" s="1" customFormat="1" x14ac:dyDescent="0.3"/>
    <row r="227" s="1" customFormat="1" x14ac:dyDescent="0.3"/>
    <row r="228" s="1" customFormat="1" x14ac:dyDescent="0.3"/>
    <row r="229" s="1" customFormat="1" x14ac:dyDescent="0.3"/>
    <row r="230" s="1" customFormat="1" x14ac:dyDescent="0.3"/>
    <row r="231" s="1" customFormat="1" x14ac:dyDescent="0.3"/>
    <row r="232" s="1" customFormat="1" x14ac:dyDescent="0.3"/>
    <row r="233" s="1" customFormat="1" x14ac:dyDescent="0.3"/>
    <row r="234" s="1" customFormat="1" x14ac:dyDescent="0.3"/>
    <row r="235" s="1" customFormat="1" x14ac:dyDescent="0.3"/>
    <row r="236" s="1" customFormat="1" x14ac:dyDescent="0.3"/>
    <row r="237" s="1" customFormat="1" x14ac:dyDescent="0.3"/>
    <row r="238" s="1" customFormat="1" x14ac:dyDescent="0.3"/>
    <row r="239" s="1" customFormat="1" x14ac:dyDescent="0.3"/>
    <row r="240" s="1" customFormat="1" x14ac:dyDescent="0.3"/>
    <row r="241" s="1" customFormat="1" x14ac:dyDescent="0.3"/>
    <row r="242" s="1" customFormat="1" x14ac:dyDescent="0.3"/>
    <row r="243" s="1" customFormat="1" x14ac:dyDescent="0.3"/>
    <row r="244" s="1" customFormat="1" x14ac:dyDescent="0.3"/>
    <row r="245" s="1" customFormat="1" x14ac:dyDescent="0.3"/>
    <row r="246" s="1" customFormat="1" x14ac:dyDescent="0.3"/>
    <row r="247" s="1" customFormat="1" x14ac:dyDescent="0.3"/>
    <row r="248" s="1" customFormat="1" x14ac:dyDescent="0.3"/>
    <row r="249" s="1" customFormat="1" x14ac:dyDescent="0.3"/>
    <row r="250" s="1" customFormat="1" x14ac:dyDescent="0.3"/>
    <row r="251" s="1" customFormat="1" x14ac:dyDescent="0.3"/>
    <row r="252" s="1" customFormat="1" x14ac:dyDescent="0.3"/>
    <row r="253" s="1" customFormat="1" x14ac:dyDescent="0.3"/>
    <row r="254" s="1" customFormat="1" x14ac:dyDescent="0.3"/>
    <row r="255" s="1" customFormat="1" x14ac:dyDescent="0.3"/>
    <row r="256" s="1" customFormat="1" x14ac:dyDescent="0.3"/>
    <row r="257" s="1" customFormat="1" x14ac:dyDescent="0.3"/>
    <row r="258" s="1" customFormat="1" x14ac:dyDescent="0.3"/>
    <row r="259" s="1" customFormat="1" x14ac:dyDescent="0.3"/>
    <row r="260" s="1" customFormat="1" x14ac:dyDescent="0.3"/>
    <row r="261" s="1" customFormat="1" x14ac:dyDescent="0.3"/>
    <row r="262" s="1" customFormat="1" x14ac:dyDescent="0.3"/>
    <row r="263" s="1" customFormat="1" x14ac:dyDescent="0.3"/>
    <row r="264" s="1" customFormat="1" x14ac:dyDescent="0.3"/>
    <row r="265" s="1" customFormat="1" x14ac:dyDescent="0.3"/>
    <row r="266" s="1" customFormat="1" x14ac:dyDescent="0.3"/>
    <row r="267" s="1" customFormat="1" x14ac:dyDescent="0.3"/>
    <row r="268" s="1" customFormat="1" x14ac:dyDescent="0.3"/>
    <row r="269" s="1" customFormat="1" x14ac:dyDescent="0.3"/>
    <row r="270" s="1" customFormat="1" x14ac:dyDescent="0.3"/>
    <row r="271" s="1" customFormat="1" x14ac:dyDescent="0.3"/>
    <row r="272" s="1" customFormat="1" x14ac:dyDescent="0.3"/>
    <row r="273" s="1" customFormat="1" x14ac:dyDescent="0.3"/>
    <row r="274" s="1" customFormat="1" x14ac:dyDescent="0.3"/>
    <row r="275" s="1" customFormat="1" x14ac:dyDescent="0.3"/>
    <row r="276" s="1" customFormat="1" x14ac:dyDescent="0.3"/>
    <row r="277" s="1" customFormat="1" x14ac:dyDescent="0.3"/>
    <row r="278" s="1" customFormat="1" x14ac:dyDescent="0.3"/>
    <row r="279" s="1" customFormat="1" x14ac:dyDescent="0.3"/>
    <row r="280" s="1" customFormat="1" x14ac:dyDescent="0.3"/>
    <row r="281" s="1" customFormat="1" x14ac:dyDescent="0.3"/>
    <row r="282" s="1" customFormat="1" x14ac:dyDescent="0.3"/>
    <row r="283" s="1" customFormat="1" x14ac:dyDescent="0.3"/>
    <row r="284" s="1" customFormat="1" x14ac:dyDescent="0.3"/>
    <row r="285" s="1" customFormat="1" x14ac:dyDescent="0.3"/>
    <row r="286" s="1" customFormat="1" x14ac:dyDescent="0.3"/>
    <row r="287" s="1" customFormat="1" x14ac:dyDescent="0.3"/>
    <row r="288" s="1" customFormat="1" x14ac:dyDescent="0.3"/>
    <row r="289" s="1" customFormat="1" x14ac:dyDescent="0.3"/>
    <row r="290" s="1" customFormat="1" x14ac:dyDescent="0.3"/>
    <row r="291" s="1" customFormat="1" x14ac:dyDescent="0.3"/>
    <row r="292" s="1" customFormat="1" x14ac:dyDescent="0.3"/>
    <row r="293" s="1" customFormat="1" x14ac:dyDescent="0.3"/>
    <row r="294" s="1" customFormat="1" x14ac:dyDescent="0.3"/>
    <row r="295" s="1" customFormat="1" x14ac:dyDescent="0.3"/>
    <row r="296" s="1" customFormat="1" x14ac:dyDescent="0.3"/>
    <row r="297" s="1" customFormat="1" x14ac:dyDescent="0.3"/>
    <row r="298" s="1" customFormat="1" x14ac:dyDescent="0.3"/>
    <row r="299" s="1" customFormat="1" x14ac:dyDescent="0.3"/>
    <row r="300" s="1" customFormat="1" x14ac:dyDescent="0.3"/>
    <row r="301" s="1" customFormat="1" x14ac:dyDescent="0.3"/>
    <row r="302" s="1" customFormat="1" x14ac:dyDescent="0.3"/>
    <row r="303" s="1" customFormat="1" x14ac:dyDescent="0.3"/>
    <row r="304" s="1" customFormat="1" x14ac:dyDescent="0.3"/>
    <row r="305" s="1" customFormat="1" x14ac:dyDescent="0.3"/>
    <row r="306" s="1" customFormat="1" x14ac:dyDescent="0.3"/>
    <row r="307" s="1" customFormat="1" x14ac:dyDescent="0.3"/>
    <row r="308" s="1" customFormat="1" x14ac:dyDescent="0.3"/>
    <row r="309" s="1" customFormat="1" x14ac:dyDescent="0.3"/>
    <row r="310" s="1" customFormat="1" x14ac:dyDescent="0.3"/>
    <row r="311" s="1" customFormat="1" x14ac:dyDescent="0.3"/>
    <row r="312" s="1" customFormat="1" x14ac:dyDescent="0.3"/>
    <row r="313" s="1" customFormat="1" x14ac:dyDescent="0.3"/>
    <row r="314" s="1" customFormat="1" x14ac:dyDescent="0.3"/>
    <row r="315" s="1" customFormat="1" x14ac:dyDescent="0.3"/>
    <row r="316" s="1" customFormat="1" x14ac:dyDescent="0.3"/>
    <row r="317" s="1" customFormat="1" x14ac:dyDescent="0.3"/>
    <row r="318" s="1" customFormat="1" x14ac:dyDescent="0.3"/>
    <row r="319" s="1" customFormat="1" x14ac:dyDescent="0.3"/>
    <row r="320" s="1" customFormat="1" x14ac:dyDescent="0.3"/>
    <row r="321" s="1" customFormat="1" x14ac:dyDescent="0.3"/>
    <row r="322" s="1" customFormat="1" x14ac:dyDescent="0.3"/>
    <row r="323" s="1" customFormat="1" x14ac:dyDescent="0.3"/>
    <row r="324" s="1" customFormat="1" x14ac:dyDescent="0.3"/>
    <row r="325" s="1" customFormat="1" x14ac:dyDescent="0.3"/>
    <row r="326" s="1" customFormat="1" x14ac:dyDescent="0.3"/>
    <row r="327" s="1" customFormat="1" x14ac:dyDescent="0.3"/>
    <row r="328" s="1" customFormat="1" x14ac:dyDescent="0.3"/>
    <row r="329" s="1" customFormat="1" x14ac:dyDescent="0.3"/>
    <row r="330" s="1" customFormat="1" x14ac:dyDescent="0.3"/>
    <row r="331" s="1" customFormat="1" x14ac:dyDescent="0.3"/>
    <row r="332" s="1" customFormat="1" x14ac:dyDescent="0.3"/>
    <row r="333" s="1" customFormat="1" x14ac:dyDescent="0.3"/>
    <row r="334" s="1" customFormat="1" x14ac:dyDescent="0.3"/>
    <row r="335" s="1" customFormat="1" x14ac:dyDescent="0.3"/>
    <row r="336" s="1" customFormat="1" x14ac:dyDescent="0.3"/>
    <row r="337" s="1" customFormat="1" x14ac:dyDescent="0.3"/>
    <row r="338" s="1" customFormat="1" x14ac:dyDescent="0.3"/>
    <row r="339" s="1" customFormat="1" x14ac:dyDescent="0.3"/>
    <row r="340" s="1" customFormat="1" x14ac:dyDescent="0.3"/>
    <row r="341" s="1" customFormat="1" x14ac:dyDescent="0.3"/>
    <row r="342" s="1" customFormat="1" x14ac:dyDescent="0.3"/>
    <row r="343" s="1" customFormat="1" x14ac:dyDescent="0.3"/>
    <row r="344" s="1" customFormat="1" x14ac:dyDescent="0.3"/>
    <row r="345" s="1" customFormat="1" x14ac:dyDescent="0.3"/>
    <row r="346" s="1" customFormat="1" x14ac:dyDescent="0.3"/>
    <row r="347" s="1" customFormat="1" x14ac:dyDescent="0.3"/>
    <row r="348" s="1" customFormat="1" x14ac:dyDescent="0.3"/>
    <row r="349" s="1" customFormat="1" x14ac:dyDescent="0.3"/>
    <row r="350" s="1" customFormat="1" x14ac:dyDescent="0.3"/>
    <row r="351" s="1" customFormat="1" x14ac:dyDescent="0.3"/>
    <row r="352" s="1" customFormat="1" x14ac:dyDescent="0.3"/>
    <row r="353" s="1" customFormat="1" x14ac:dyDescent="0.3"/>
    <row r="354" s="1" customFormat="1" x14ac:dyDescent="0.3"/>
    <row r="355" s="1" customFormat="1" x14ac:dyDescent="0.3"/>
    <row r="356" s="1" customFormat="1" x14ac:dyDescent="0.3"/>
    <row r="357" s="1" customFormat="1" x14ac:dyDescent="0.3"/>
    <row r="358" s="1" customFormat="1" x14ac:dyDescent="0.3"/>
    <row r="359" s="1" customFormat="1" x14ac:dyDescent="0.3"/>
    <row r="360" s="1" customFormat="1" x14ac:dyDescent="0.3"/>
    <row r="361" s="1" customFormat="1" x14ac:dyDescent="0.3"/>
    <row r="362" s="1" customFormat="1" x14ac:dyDescent="0.3"/>
    <row r="363" s="1" customFormat="1" x14ac:dyDescent="0.3"/>
    <row r="364" s="1" customFormat="1" x14ac:dyDescent="0.3"/>
    <row r="365" s="1" customFormat="1" x14ac:dyDescent="0.3"/>
    <row r="366" s="1" customFormat="1" x14ac:dyDescent="0.3"/>
    <row r="367" s="1" customFormat="1" x14ac:dyDescent="0.3"/>
    <row r="368" s="1" customFormat="1" x14ac:dyDescent="0.3"/>
    <row r="369" s="1" customFormat="1" x14ac:dyDescent="0.3"/>
    <row r="370" s="1" customFormat="1" x14ac:dyDescent="0.3"/>
    <row r="371" s="1" customFormat="1" x14ac:dyDescent="0.3"/>
    <row r="372" s="1" customFormat="1" x14ac:dyDescent="0.3"/>
    <row r="373" s="1" customFormat="1" x14ac:dyDescent="0.3"/>
    <row r="374" s="1" customFormat="1" x14ac:dyDescent="0.3"/>
    <row r="375" s="1" customFormat="1" x14ac:dyDescent="0.3"/>
    <row r="376" s="1" customFormat="1" x14ac:dyDescent="0.3"/>
    <row r="377" s="1" customFormat="1" x14ac:dyDescent="0.3"/>
    <row r="378" s="1" customFormat="1" x14ac:dyDescent="0.3"/>
    <row r="379" s="1" customFormat="1" x14ac:dyDescent="0.3"/>
    <row r="380" s="1" customFormat="1" x14ac:dyDescent="0.3"/>
    <row r="381" s="1" customFormat="1" x14ac:dyDescent="0.3"/>
    <row r="382" s="1" customFormat="1" x14ac:dyDescent="0.3"/>
    <row r="383" s="1" customFormat="1" x14ac:dyDescent="0.3"/>
    <row r="384" s="1" customFormat="1" x14ac:dyDescent="0.3"/>
    <row r="385" s="1" customFormat="1" x14ac:dyDescent="0.3"/>
    <row r="386" s="1" customFormat="1" x14ac:dyDescent="0.3"/>
    <row r="387" s="1" customFormat="1" x14ac:dyDescent="0.3"/>
    <row r="388" s="1" customFormat="1" x14ac:dyDescent="0.3"/>
    <row r="389" s="1" customFormat="1" x14ac:dyDescent="0.3"/>
    <row r="390" s="1" customFormat="1" x14ac:dyDescent="0.3"/>
    <row r="391" s="1" customFormat="1" x14ac:dyDescent="0.3"/>
    <row r="392" s="1" customFormat="1" x14ac:dyDescent="0.3"/>
    <row r="393" s="1" customFormat="1" x14ac:dyDescent="0.3"/>
    <row r="394" s="1" customFormat="1" x14ac:dyDescent="0.3"/>
    <row r="395" s="1" customFormat="1" x14ac:dyDescent="0.3"/>
    <row r="396" s="1" customFormat="1" x14ac:dyDescent="0.3"/>
    <row r="397" s="1" customFormat="1" x14ac:dyDescent="0.3"/>
    <row r="398" s="1" customFormat="1" x14ac:dyDescent="0.3"/>
    <row r="399" s="1" customFormat="1" x14ac:dyDescent="0.3"/>
    <row r="400" s="1" customFormat="1" x14ac:dyDescent="0.3"/>
    <row r="401" s="1" customFormat="1" x14ac:dyDescent="0.3"/>
    <row r="402" s="1" customFormat="1" x14ac:dyDescent="0.3"/>
    <row r="403" s="1" customFormat="1" x14ac:dyDescent="0.3"/>
    <row r="404" s="1" customFormat="1" x14ac:dyDescent="0.3"/>
    <row r="405" s="1" customFormat="1" x14ac:dyDescent="0.3"/>
    <row r="406" s="1" customFormat="1" x14ac:dyDescent="0.3"/>
    <row r="407" s="1" customFormat="1" x14ac:dyDescent="0.3"/>
    <row r="408" s="1" customFormat="1" x14ac:dyDescent="0.3"/>
    <row r="409" s="1" customFormat="1" x14ac:dyDescent="0.3"/>
    <row r="410" s="1" customFormat="1" x14ac:dyDescent="0.3"/>
    <row r="411" s="1" customFormat="1" x14ac:dyDescent="0.3"/>
    <row r="412" s="1" customFormat="1" x14ac:dyDescent="0.3"/>
    <row r="413" s="1" customFormat="1" x14ac:dyDescent="0.3"/>
    <row r="414" s="1" customFormat="1" x14ac:dyDescent="0.3"/>
    <row r="415" s="1" customFormat="1" x14ac:dyDescent="0.3"/>
    <row r="416" s="1" customFormat="1" x14ac:dyDescent="0.3"/>
    <row r="417" s="1" customFormat="1" x14ac:dyDescent="0.3"/>
    <row r="418" s="1" customFormat="1" x14ac:dyDescent="0.3"/>
    <row r="419" s="1" customFormat="1" x14ac:dyDescent="0.3"/>
    <row r="420" s="1" customFormat="1" x14ac:dyDescent="0.3"/>
    <row r="421" s="1" customFormat="1" x14ac:dyDescent="0.3"/>
    <row r="422" s="1" customFormat="1" x14ac:dyDescent="0.3"/>
    <row r="423" s="1" customFormat="1" x14ac:dyDescent="0.3"/>
    <row r="424" s="1" customFormat="1" x14ac:dyDescent="0.3"/>
    <row r="425" s="1" customFormat="1" x14ac:dyDescent="0.3"/>
    <row r="426" s="1" customFormat="1" x14ac:dyDescent="0.3"/>
    <row r="427" s="1" customFormat="1" x14ac:dyDescent="0.3"/>
    <row r="428" s="1" customFormat="1" x14ac:dyDescent="0.3"/>
    <row r="429" s="1" customFormat="1" x14ac:dyDescent="0.3"/>
    <row r="430" s="1" customFormat="1" x14ac:dyDescent="0.3"/>
    <row r="431" s="1" customFormat="1" x14ac:dyDescent="0.3"/>
    <row r="432" s="1" customFormat="1" x14ac:dyDescent="0.3"/>
    <row r="433" s="1" customFormat="1" x14ac:dyDescent="0.3"/>
    <row r="434" s="1" customFormat="1" x14ac:dyDescent="0.3"/>
    <row r="435" s="1" customFormat="1" x14ac:dyDescent="0.3"/>
    <row r="436" s="1" customFormat="1" x14ac:dyDescent="0.3"/>
    <row r="437" s="1" customFormat="1" x14ac:dyDescent="0.3"/>
    <row r="438" s="1" customFormat="1" x14ac:dyDescent="0.3"/>
    <row r="439" s="1" customFormat="1" x14ac:dyDescent="0.3"/>
    <row r="440" s="1" customFormat="1" x14ac:dyDescent="0.3"/>
    <row r="441" s="1" customFormat="1" x14ac:dyDescent="0.3"/>
    <row r="442" s="1" customFormat="1" x14ac:dyDescent="0.3"/>
    <row r="443" s="1" customFormat="1" x14ac:dyDescent="0.3"/>
    <row r="444" s="1" customFormat="1" x14ac:dyDescent="0.3"/>
    <row r="445" s="1" customFormat="1" x14ac:dyDescent="0.3"/>
    <row r="446" s="1" customFormat="1" x14ac:dyDescent="0.3"/>
    <row r="447" s="1" customFormat="1" x14ac:dyDescent="0.3"/>
    <row r="448" s="1" customFormat="1" x14ac:dyDescent="0.3"/>
    <row r="449" s="1" customFormat="1" x14ac:dyDescent="0.3"/>
    <row r="450" s="1" customFormat="1" x14ac:dyDescent="0.3"/>
    <row r="451" s="1" customFormat="1" x14ac:dyDescent="0.3"/>
    <row r="452" s="1" customFormat="1" x14ac:dyDescent="0.3"/>
    <row r="453" s="1" customFormat="1" x14ac:dyDescent="0.3"/>
    <row r="454" s="1" customFormat="1" x14ac:dyDescent="0.3"/>
    <row r="455" s="1" customFormat="1" x14ac:dyDescent="0.3"/>
    <row r="456" s="1" customFormat="1" x14ac:dyDescent="0.3"/>
    <row r="457" s="1" customFormat="1" x14ac:dyDescent="0.3"/>
    <row r="458" s="1" customFormat="1" x14ac:dyDescent="0.3"/>
    <row r="459" s="1" customFormat="1" x14ac:dyDescent="0.3"/>
    <row r="460" s="1" customFormat="1" x14ac:dyDescent="0.3"/>
    <row r="461" s="1" customFormat="1" x14ac:dyDescent="0.3"/>
    <row r="462" s="1" customFormat="1" x14ac:dyDescent="0.3"/>
    <row r="463" s="1" customFormat="1" x14ac:dyDescent="0.3"/>
    <row r="464" s="1" customFormat="1" x14ac:dyDescent="0.3"/>
    <row r="465" s="1" customFormat="1" x14ac:dyDescent="0.3"/>
    <row r="466" s="1" customFormat="1" x14ac:dyDescent="0.3"/>
    <row r="467" s="1" customFormat="1" x14ac:dyDescent="0.3"/>
    <row r="468" s="1" customFormat="1" x14ac:dyDescent="0.3"/>
    <row r="469" s="1" customFormat="1" x14ac:dyDescent="0.3"/>
    <row r="470" s="1" customFormat="1" x14ac:dyDescent="0.3"/>
    <row r="471" s="1" customFormat="1" x14ac:dyDescent="0.3"/>
    <row r="472" s="1" customFormat="1" x14ac:dyDescent="0.3"/>
    <row r="473" s="1" customFormat="1" x14ac:dyDescent="0.3"/>
    <row r="474" s="1" customFormat="1" x14ac:dyDescent="0.3"/>
    <row r="475" s="1" customFormat="1" x14ac:dyDescent="0.3"/>
    <row r="476" s="1" customFormat="1" x14ac:dyDescent="0.3"/>
    <row r="477" s="1" customFormat="1" x14ac:dyDescent="0.3"/>
    <row r="478" s="1" customFormat="1" x14ac:dyDescent="0.3"/>
    <row r="479" s="1" customFormat="1" x14ac:dyDescent="0.3"/>
    <row r="480" s="1" customFormat="1" x14ac:dyDescent="0.3"/>
    <row r="481" s="1" customFormat="1" x14ac:dyDescent="0.3"/>
    <row r="482" s="1" customFormat="1" x14ac:dyDescent="0.3"/>
  </sheetData>
  <sheetProtection password="C527" sheet="1"/>
  <mergeCells count="10">
    <mergeCell ref="E2:J2"/>
    <mergeCell ref="E4:J4"/>
    <mergeCell ref="D15:J15"/>
    <mergeCell ref="E19:J19"/>
    <mergeCell ref="E20:J20"/>
    <mergeCell ref="D17:J17"/>
    <mergeCell ref="D18:J18"/>
    <mergeCell ref="D7:J7"/>
    <mergeCell ref="D6:J6"/>
    <mergeCell ref="D13:I13"/>
  </mergeCells>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4E29-33AF-4C65-BD44-F86879671737}">
  <dimension ref="A1:AZ229"/>
  <sheetViews>
    <sheetView showGridLines="0" tabSelected="1" topLeftCell="B1" zoomScaleNormal="100" workbookViewId="0">
      <selection activeCell="H2" sqref="H2:H5"/>
    </sheetView>
  </sheetViews>
  <sheetFormatPr defaultColWidth="9.109375" defaultRowHeight="14.4" x14ac:dyDescent="0.3"/>
  <cols>
    <col min="1" max="1" width="4.109375" style="12" customWidth="1"/>
    <col min="2" max="2" width="5.5546875" style="53" customWidth="1"/>
    <col min="3" max="3" width="41.33203125" style="53" customWidth="1"/>
    <col min="4" max="4" width="33.88671875" style="53" bestFit="1" customWidth="1"/>
    <col min="5" max="5" width="10.88671875" style="53" bestFit="1" customWidth="1"/>
    <col min="6" max="6" width="11.33203125" style="65" bestFit="1" customWidth="1"/>
    <col min="7" max="7" width="18.33203125" style="65" bestFit="1" customWidth="1"/>
    <col min="8" max="8" width="43.5546875" style="53" customWidth="1"/>
    <col min="9" max="9" width="44" style="53" customWidth="1"/>
    <col min="10" max="36" width="9.109375" style="53"/>
    <col min="37" max="37" width="0" style="53" hidden="1" customWidth="1"/>
    <col min="38" max="38" width="24.88671875" style="54" hidden="1" customWidth="1"/>
    <col min="39" max="39" width="18.109375" style="54" hidden="1" customWidth="1"/>
    <col min="40" max="52" width="9.109375" style="54" hidden="1" customWidth="1"/>
    <col min="53" max="16384" width="9.109375" style="53"/>
  </cols>
  <sheetData>
    <row r="1" spans="1:52" ht="15" thickBot="1" x14ac:dyDescent="0.35">
      <c r="A1" s="67"/>
      <c r="B1" s="67"/>
      <c r="C1" s="67"/>
      <c r="D1" s="67"/>
      <c r="E1" s="67"/>
      <c r="F1" s="67"/>
      <c r="G1" s="67"/>
      <c r="H1" s="67"/>
      <c r="I1" s="67"/>
    </row>
    <row r="2" spans="1:52" x14ac:dyDescent="0.3">
      <c r="A2" s="54"/>
      <c r="B2" s="54"/>
      <c r="C2" s="54"/>
      <c r="D2" s="67"/>
      <c r="E2" s="54"/>
      <c r="F2" s="64"/>
      <c r="G2" s="13" t="s">
        <v>24</v>
      </c>
      <c r="H2" s="68"/>
      <c r="I2" s="67"/>
    </row>
    <row r="3" spans="1:52" x14ac:dyDescent="0.3">
      <c r="A3" s="54"/>
      <c r="B3" s="54"/>
      <c r="C3" s="54"/>
      <c r="D3" s="67"/>
      <c r="E3" s="54"/>
      <c r="F3" s="64"/>
      <c r="G3" s="14" t="s">
        <v>25</v>
      </c>
      <c r="H3" s="69"/>
      <c r="I3" s="67"/>
    </row>
    <row r="4" spans="1:52" x14ac:dyDescent="0.3">
      <c r="A4" s="54"/>
      <c r="B4" s="54"/>
      <c r="C4" s="54"/>
      <c r="D4" s="67"/>
      <c r="E4" s="54"/>
      <c r="F4" s="64"/>
      <c r="G4" s="14" t="s">
        <v>26</v>
      </c>
      <c r="H4" s="69"/>
      <c r="I4" s="67"/>
      <c r="AM4" s="54" t="s">
        <v>27</v>
      </c>
    </row>
    <row r="5" spans="1:52" x14ac:dyDescent="0.3">
      <c r="A5" s="54"/>
      <c r="B5" s="54"/>
      <c r="C5" s="54"/>
      <c r="D5" s="67"/>
      <c r="E5" s="54"/>
      <c r="F5" s="64"/>
      <c r="G5" s="14" t="s">
        <v>27</v>
      </c>
      <c r="H5" s="69"/>
      <c r="I5" s="67"/>
      <c r="AM5" s="55" t="s">
        <v>11</v>
      </c>
    </row>
    <row r="6" spans="1:52" ht="15" thickBot="1" x14ac:dyDescent="0.35">
      <c r="A6" s="54"/>
      <c r="B6" s="54"/>
      <c r="C6" s="54"/>
      <c r="D6" s="67"/>
      <c r="E6" s="54"/>
      <c r="F6" s="64"/>
      <c r="G6" s="15" t="s">
        <v>28</v>
      </c>
      <c r="H6" s="70"/>
      <c r="I6" s="67"/>
      <c r="AM6" s="55" t="s">
        <v>12</v>
      </c>
    </row>
    <row r="7" spans="1:52" x14ac:dyDescent="0.3">
      <c r="A7" s="54"/>
      <c r="B7" s="54"/>
      <c r="C7" s="54"/>
      <c r="D7" s="54"/>
      <c r="E7" s="54"/>
      <c r="F7" s="64"/>
      <c r="G7" s="64"/>
      <c r="H7" s="54"/>
      <c r="I7" s="54"/>
      <c r="AM7" s="55" t="s">
        <v>13</v>
      </c>
    </row>
    <row r="8" spans="1:52" s="56" customFormat="1" ht="18.600000000000001" thickBot="1" x14ac:dyDescent="0.35">
      <c r="A8" s="153" t="s">
        <v>29</v>
      </c>
      <c r="B8" s="153"/>
      <c r="C8" s="153"/>
      <c r="D8" s="153"/>
      <c r="E8" s="153"/>
      <c r="F8" s="153"/>
      <c r="G8" s="153"/>
      <c r="H8" s="153"/>
      <c r="I8" s="153"/>
      <c r="J8" s="53"/>
      <c r="AL8" s="57"/>
      <c r="AM8" s="55" t="s">
        <v>14</v>
      </c>
      <c r="AN8" s="57"/>
      <c r="AO8" s="57"/>
      <c r="AP8" s="57"/>
      <c r="AQ8" s="57"/>
      <c r="AR8" s="57"/>
      <c r="AS8" s="57"/>
      <c r="AT8" s="57"/>
      <c r="AU8" s="57"/>
      <c r="AV8" s="57"/>
      <c r="AW8" s="57"/>
      <c r="AX8" s="57"/>
      <c r="AY8" s="57"/>
      <c r="AZ8" s="57"/>
    </row>
    <row r="9" spans="1:52" s="56" customFormat="1" ht="15" thickBot="1" x14ac:dyDescent="0.35">
      <c r="A9" s="57"/>
      <c r="B9" s="57"/>
      <c r="C9" s="57"/>
      <c r="D9" s="57"/>
      <c r="E9" s="57"/>
      <c r="F9" s="57"/>
      <c r="G9" s="57"/>
      <c r="H9" s="57"/>
      <c r="I9" s="57"/>
      <c r="J9" s="53"/>
      <c r="AL9" s="57"/>
      <c r="AM9" s="58"/>
      <c r="AN9" s="57"/>
      <c r="AO9" s="57"/>
      <c r="AP9" s="57"/>
      <c r="AQ9" s="57"/>
      <c r="AR9" s="57"/>
      <c r="AS9" s="57"/>
      <c r="AT9" s="57"/>
      <c r="AU9" s="57"/>
      <c r="AV9" s="57"/>
      <c r="AW9" s="57"/>
      <c r="AX9" s="57"/>
      <c r="AY9" s="57"/>
      <c r="AZ9" s="57"/>
    </row>
    <row r="10" spans="1:52" s="56" customFormat="1" ht="16.2" thickBot="1" x14ac:dyDescent="0.35">
      <c r="A10" s="159" t="s">
        <v>30</v>
      </c>
      <c r="B10" s="145"/>
      <c r="C10" s="145"/>
      <c r="D10" s="145"/>
      <c r="E10" s="145"/>
      <c r="F10" s="145"/>
      <c r="G10" s="145"/>
      <c r="H10" s="142" t="s">
        <v>31</v>
      </c>
      <c r="I10" s="142"/>
      <c r="J10" s="53"/>
      <c r="AL10" s="57"/>
      <c r="AM10" s="57"/>
      <c r="AN10" s="57"/>
      <c r="AO10" s="57"/>
      <c r="AP10" s="57"/>
      <c r="AQ10" s="57"/>
      <c r="AR10" s="57"/>
      <c r="AS10" s="57"/>
      <c r="AT10" s="57"/>
      <c r="AU10" s="57"/>
      <c r="AV10" s="57"/>
      <c r="AW10" s="57"/>
      <c r="AX10" s="57"/>
      <c r="AY10" s="57"/>
      <c r="AZ10" s="57"/>
    </row>
    <row r="11" spans="1:52" s="56" customFormat="1" ht="15.75" customHeight="1" thickBot="1" x14ac:dyDescent="0.35">
      <c r="A11" s="194" t="s">
        <v>32</v>
      </c>
      <c r="B11" s="16" t="s">
        <v>33</v>
      </c>
      <c r="C11" s="17" t="s">
        <v>34</v>
      </c>
      <c r="D11" s="17" t="s">
        <v>35</v>
      </c>
      <c r="E11" s="17" t="s">
        <v>36</v>
      </c>
      <c r="F11" s="17" t="s">
        <v>37</v>
      </c>
      <c r="G11" s="17" t="s">
        <v>38</v>
      </c>
      <c r="H11" s="18" t="s">
        <v>39</v>
      </c>
      <c r="I11" s="18" t="s">
        <v>40</v>
      </c>
      <c r="J11" s="53"/>
      <c r="AL11" s="57"/>
      <c r="AM11" s="220" t="s">
        <v>32</v>
      </c>
      <c r="AN11" s="220"/>
      <c r="AO11" s="220" t="s">
        <v>41</v>
      </c>
      <c r="AP11" s="220"/>
      <c r="AQ11" s="220" t="s">
        <v>42</v>
      </c>
      <c r="AR11" s="220"/>
      <c r="AS11" s="220" t="s">
        <v>43</v>
      </c>
      <c r="AT11" s="220"/>
      <c r="AU11" s="220" t="s">
        <v>44</v>
      </c>
      <c r="AV11" s="220"/>
      <c r="AW11" s="220" t="s">
        <v>45</v>
      </c>
      <c r="AX11" s="220"/>
      <c r="AY11" s="220" t="s">
        <v>46</v>
      </c>
      <c r="AZ11" s="220"/>
    </row>
    <row r="12" spans="1:52" s="56" customFormat="1" ht="15" thickBot="1" x14ac:dyDescent="0.35">
      <c r="A12" s="195"/>
      <c r="B12" s="125" t="s">
        <v>47</v>
      </c>
      <c r="C12" s="120"/>
      <c r="D12" s="120"/>
      <c r="E12" s="120"/>
      <c r="F12" s="120"/>
      <c r="G12" s="126"/>
      <c r="H12" s="125"/>
      <c r="I12" s="126"/>
      <c r="J12" s="53"/>
      <c r="AL12" s="59" t="s">
        <v>11</v>
      </c>
      <c r="AM12" s="60">
        <v>60</v>
      </c>
      <c r="AN12" s="61">
        <f>IF(AND($H$5=AL12,$G$59&lt;=60),$G$59,AM12)</f>
        <v>60</v>
      </c>
      <c r="AO12" s="60">
        <v>50</v>
      </c>
      <c r="AP12" s="61">
        <f>IF(AND($H$5=AL12,$G$102&lt;=50),$G$102,AO12)</f>
        <v>50</v>
      </c>
      <c r="AQ12" s="89">
        <v>40</v>
      </c>
      <c r="AR12" s="90">
        <f>IF(AND($H$5=AL12,$G$124&lt;=40),$G$124,AQ12)</f>
        <v>40</v>
      </c>
      <c r="AS12" s="89">
        <v>35</v>
      </c>
      <c r="AT12" s="90">
        <f>IF(AND($H$5=AL12,$G$149&lt;=35),$G$149,AS12)</f>
        <v>35</v>
      </c>
      <c r="AU12" s="89">
        <v>10</v>
      </c>
      <c r="AV12" s="91">
        <f>IF(AND($H$5=AL12,$G$161&lt;=10),$G$161,AU12)</f>
        <v>10</v>
      </c>
      <c r="AW12" s="89">
        <v>5</v>
      </c>
      <c r="AX12" s="91">
        <f>IF(AND($H$5=AL12,$G$169&lt;=5),$G$169,AW12)</f>
        <v>5</v>
      </c>
      <c r="AY12" s="89">
        <v>10</v>
      </c>
      <c r="AZ12" s="91">
        <f>IF(AND($H$5=AL12,$G$179&lt;=5),$G$179,AY12)</f>
        <v>10</v>
      </c>
    </row>
    <row r="13" spans="1:52" s="56" customFormat="1" ht="15" customHeight="1" x14ac:dyDescent="0.3">
      <c r="A13" s="195"/>
      <c r="B13" s="141">
        <v>1</v>
      </c>
      <c r="C13" s="223" t="s">
        <v>48</v>
      </c>
      <c r="D13" s="92" t="s">
        <v>49</v>
      </c>
      <c r="E13" s="92">
        <v>8</v>
      </c>
      <c r="F13" s="156">
        <v>8</v>
      </c>
      <c r="G13" s="157"/>
      <c r="H13" s="238" t="s">
        <v>50</v>
      </c>
      <c r="I13" s="241"/>
      <c r="J13" s="53"/>
      <c r="AL13" s="59" t="s">
        <v>12</v>
      </c>
      <c r="AM13" s="60">
        <v>60</v>
      </c>
      <c r="AN13" s="61">
        <f>IF(AND($H$5=AL13,$G$59&lt;=60),$G$59,AM13)</f>
        <v>60</v>
      </c>
      <c r="AO13" s="60">
        <v>50</v>
      </c>
      <c r="AP13" s="61">
        <f>IF(AND($H$5=AL13,$G$102&lt;=50),$G$102,AO13)</f>
        <v>50</v>
      </c>
      <c r="AQ13" s="60">
        <v>40</v>
      </c>
      <c r="AR13" s="61">
        <f>IF(AND($H$5=AL13,$G$124&lt;=40),$G$124,AQ13)</f>
        <v>40</v>
      </c>
      <c r="AS13" s="60">
        <v>35</v>
      </c>
      <c r="AT13" s="61">
        <f>IF(AND($H$5=AL13,$G$149&lt;=35),$G$149,AS13)</f>
        <v>35</v>
      </c>
      <c r="AU13" s="60">
        <v>10</v>
      </c>
      <c r="AV13" s="62">
        <f>IF(AND($H$5=AL13,$G$161&lt;=10),$G$161,AU13)</f>
        <v>10</v>
      </c>
      <c r="AW13" s="60">
        <v>5</v>
      </c>
      <c r="AX13" s="62">
        <f>IF(AND($H$5=AL13,$G$169&lt;=5),$G$169,AW13)</f>
        <v>5</v>
      </c>
      <c r="AY13" s="89">
        <v>10</v>
      </c>
      <c r="AZ13" s="91">
        <f>IF(AND($H$5=AL13,$G$179&lt;=5),$G$179,AY13)</f>
        <v>10</v>
      </c>
    </row>
    <row r="14" spans="1:52" x14ac:dyDescent="0.3">
      <c r="A14" s="195"/>
      <c r="B14" s="124"/>
      <c r="C14" s="155"/>
      <c r="D14" s="93" t="s">
        <v>51</v>
      </c>
      <c r="E14" s="93">
        <v>6</v>
      </c>
      <c r="F14" s="156"/>
      <c r="G14" s="158"/>
      <c r="H14" s="239"/>
      <c r="I14" s="242"/>
      <c r="AL14" s="59" t="s">
        <v>13</v>
      </c>
      <c r="AM14" s="60">
        <v>50</v>
      </c>
      <c r="AN14" s="61">
        <f>IF(AND($H$5=AL14,$G$59&lt;=50),$G$59,AM14)</f>
        <v>50</v>
      </c>
      <c r="AO14" s="60">
        <v>60</v>
      </c>
      <c r="AP14" s="61">
        <f>IF(AND($H$5=AL14,$G$102&lt;=60),$G$102,AO14)</f>
        <v>60</v>
      </c>
      <c r="AQ14" s="60">
        <v>40</v>
      </c>
      <c r="AR14" s="61">
        <f>IF(AND($H$5=AL14,$G$124&lt;=40),$G$124,AQ14)</f>
        <v>40</v>
      </c>
      <c r="AS14" s="60">
        <v>35</v>
      </c>
      <c r="AT14" s="61">
        <f>IF(AND($H$5=AL14,$G$149&lt;=35),$G$149,AS14)</f>
        <v>35</v>
      </c>
      <c r="AU14" s="60">
        <v>10</v>
      </c>
      <c r="AV14" s="62">
        <f>IF(AND($H$5=AL14,$G$161&lt;=10),$G$161,AU14)</f>
        <v>10</v>
      </c>
      <c r="AW14" s="60">
        <v>5</v>
      </c>
      <c r="AX14" s="62">
        <f>IF(AND($H$5=AL14,$G$169&lt;=5),$G$169,AW14)</f>
        <v>5</v>
      </c>
      <c r="AY14" s="89">
        <v>10</v>
      </c>
      <c r="AZ14" s="91">
        <f>IF(AND($H$5=AL14,$G$179&lt;=5),$G$179,AY14)</f>
        <v>10</v>
      </c>
    </row>
    <row r="15" spans="1:52" x14ac:dyDescent="0.3">
      <c r="A15" s="195"/>
      <c r="B15" s="124"/>
      <c r="C15" s="155"/>
      <c r="D15" s="93" t="s">
        <v>52</v>
      </c>
      <c r="E15" s="93">
        <v>4</v>
      </c>
      <c r="F15" s="156"/>
      <c r="G15" s="158"/>
      <c r="H15" s="239"/>
      <c r="I15" s="242"/>
      <c r="AL15" s="59" t="s">
        <v>14</v>
      </c>
      <c r="AM15" s="60">
        <v>40</v>
      </c>
      <c r="AN15" s="61">
        <f>IF(AND($H$5=AL15,$G$59&lt;=40),$G$59,AM15)</f>
        <v>40</v>
      </c>
      <c r="AO15" s="60">
        <v>60</v>
      </c>
      <c r="AP15" s="61">
        <f>IF(AND($H$5=AL15,$G$102&lt;=60),$G$102,AO15)</f>
        <v>60</v>
      </c>
      <c r="AQ15" s="60">
        <v>40</v>
      </c>
      <c r="AR15" s="61">
        <f>IF(AND($H$5=AL15,$G$124&lt;=40),$G$124,AQ15)</f>
        <v>40</v>
      </c>
      <c r="AS15" s="60">
        <v>45</v>
      </c>
      <c r="AT15" s="61">
        <f>IF(AND($H$5=AL15,$G$149&lt;=45),$G$149,AS15)</f>
        <v>45</v>
      </c>
      <c r="AU15" s="60">
        <v>10</v>
      </c>
      <c r="AV15" s="62">
        <f>IF(AND($H$5=AL15,$G$161&lt;=10),$G$161,AU15)</f>
        <v>10</v>
      </c>
      <c r="AW15" s="60">
        <v>5</v>
      </c>
      <c r="AX15" s="62">
        <f>IF(AND($H$5=AL15,$G$169&lt;=5),$G$169,AW15)</f>
        <v>5</v>
      </c>
      <c r="AY15" s="89">
        <v>10</v>
      </c>
      <c r="AZ15" s="91">
        <f>IF(AND($H$5=AL15,$G$179&lt;=5),$G$179,AY15)</f>
        <v>10</v>
      </c>
    </row>
    <row r="16" spans="1:52" ht="26.25" customHeight="1" x14ac:dyDescent="0.3">
      <c r="A16" s="195"/>
      <c r="B16" s="124">
        <v>2</v>
      </c>
      <c r="C16" s="154" t="s">
        <v>53</v>
      </c>
      <c r="D16" s="93" t="s">
        <v>49</v>
      </c>
      <c r="E16" s="93">
        <v>8</v>
      </c>
      <c r="F16" s="160">
        <v>8</v>
      </c>
      <c r="G16" s="158"/>
      <c r="H16" s="239"/>
      <c r="I16" s="242"/>
    </row>
    <row r="17" spans="1:9" ht="28.5" customHeight="1" x14ac:dyDescent="0.3">
      <c r="A17" s="195"/>
      <c r="B17" s="124"/>
      <c r="C17" s="155"/>
      <c r="D17" s="93" t="s">
        <v>51</v>
      </c>
      <c r="E17" s="93">
        <v>6</v>
      </c>
      <c r="F17" s="160"/>
      <c r="G17" s="158"/>
      <c r="H17" s="239"/>
      <c r="I17" s="242"/>
    </row>
    <row r="18" spans="1:9" ht="35.25" customHeight="1" thickBot="1" x14ac:dyDescent="0.35">
      <c r="A18" s="195"/>
      <c r="B18" s="124"/>
      <c r="C18" s="155"/>
      <c r="D18" s="93" t="s">
        <v>52</v>
      </c>
      <c r="E18" s="93">
        <v>4</v>
      </c>
      <c r="F18" s="160"/>
      <c r="G18" s="158"/>
      <c r="H18" s="239"/>
      <c r="I18" s="242"/>
    </row>
    <row r="19" spans="1:9" ht="15" thickBot="1" x14ac:dyDescent="0.35">
      <c r="A19" s="195"/>
      <c r="B19" s="228" t="s">
        <v>54</v>
      </c>
      <c r="C19" s="119"/>
      <c r="D19" s="119"/>
      <c r="E19" s="119"/>
      <c r="F19" s="119"/>
      <c r="G19" s="229"/>
      <c r="H19" s="239"/>
      <c r="I19" s="242"/>
    </row>
    <row r="20" spans="1:9" x14ac:dyDescent="0.3">
      <c r="A20" s="195"/>
      <c r="B20" s="236">
        <v>3</v>
      </c>
      <c r="C20" s="132" t="s">
        <v>55</v>
      </c>
      <c r="D20" s="94" t="s">
        <v>49</v>
      </c>
      <c r="E20" s="94">
        <v>8</v>
      </c>
      <c r="F20" s="234"/>
      <c r="G20" s="235"/>
      <c r="H20" s="239"/>
      <c r="I20" s="242"/>
    </row>
    <row r="21" spans="1:9" x14ac:dyDescent="0.3">
      <c r="A21" s="195"/>
      <c r="B21" s="237"/>
      <c r="C21" s="133"/>
      <c r="D21" s="93" t="s">
        <v>51</v>
      </c>
      <c r="E21" s="93">
        <v>6</v>
      </c>
      <c r="F21" s="230"/>
      <c r="G21" s="231"/>
      <c r="H21" s="239"/>
      <c r="I21" s="242"/>
    </row>
    <row r="22" spans="1:9" x14ac:dyDescent="0.3">
      <c r="A22" s="195"/>
      <c r="B22" s="237"/>
      <c r="C22" s="134"/>
      <c r="D22" s="93" t="s">
        <v>52</v>
      </c>
      <c r="E22" s="93">
        <v>4</v>
      </c>
      <c r="F22" s="230"/>
      <c r="G22" s="231"/>
      <c r="H22" s="239"/>
      <c r="I22" s="242"/>
    </row>
    <row r="23" spans="1:9" x14ac:dyDescent="0.3">
      <c r="A23" s="195"/>
      <c r="B23" s="137">
        <v>4</v>
      </c>
      <c r="C23" s="135" t="s">
        <v>56</v>
      </c>
      <c r="D23" s="93" t="s">
        <v>49</v>
      </c>
      <c r="E23" s="93">
        <v>8</v>
      </c>
      <c r="F23" s="230"/>
      <c r="G23" s="231"/>
      <c r="H23" s="239"/>
      <c r="I23" s="242"/>
    </row>
    <row r="24" spans="1:9" x14ac:dyDescent="0.3">
      <c r="A24" s="195"/>
      <c r="B24" s="138"/>
      <c r="C24" s="135"/>
      <c r="D24" s="93" t="s">
        <v>51</v>
      </c>
      <c r="E24" s="93">
        <v>6</v>
      </c>
      <c r="F24" s="230"/>
      <c r="G24" s="231"/>
      <c r="H24" s="239"/>
      <c r="I24" s="242"/>
    </row>
    <row r="25" spans="1:9" ht="15" thickBot="1" x14ac:dyDescent="0.35">
      <c r="A25" s="195"/>
      <c r="B25" s="139"/>
      <c r="C25" s="136"/>
      <c r="D25" s="95" t="s">
        <v>52</v>
      </c>
      <c r="E25" s="95">
        <v>4</v>
      </c>
      <c r="F25" s="232"/>
      <c r="G25" s="233"/>
      <c r="H25" s="239"/>
      <c r="I25" s="242"/>
    </row>
    <row r="26" spans="1:9" ht="15" thickBot="1" x14ac:dyDescent="0.35">
      <c r="A26" s="195"/>
      <c r="B26" s="180" t="s">
        <v>57</v>
      </c>
      <c r="C26" s="181"/>
      <c r="D26" s="181"/>
      <c r="E26" s="181"/>
      <c r="F26" s="181"/>
      <c r="G26" s="182"/>
      <c r="H26" s="239"/>
      <c r="I26" s="242"/>
    </row>
    <row r="27" spans="1:9" ht="33.75" customHeight="1" x14ac:dyDescent="0.3">
      <c r="A27" s="195"/>
      <c r="B27" s="96">
        <v>5</v>
      </c>
      <c r="C27" s="34" t="s">
        <v>58</v>
      </c>
      <c r="D27" s="93" t="s">
        <v>59</v>
      </c>
      <c r="E27" s="93">
        <v>8</v>
      </c>
      <c r="F27" s="47">
        <v>8</v>
      </c>
      <c r="G27" s="31"/>
      <c r="H27" s="239"/>
      <c r="I27" s="242"/>
    </row>
    <row r="28" spans="1:9" x14ac:dyDescent="0.3">
      <c r="A28" s="195"/>
      <c r="B28" s="140">
        <v>6</v>
      </c>
      <c r="C28" s="224" t="s">
        <v>60</v>
      </c>
      <c r="D28" s="97">
        <v>1</v>
      </c>
      <c r="E28" s="93">
        <v>6</v>
      </c>
      <c r="F28" s="225"/>
      <c r="G28" s="158"/>
      <c r="H28" s="239"/>
      <c r="I28" s="242"/>
    </row>
    <row r="29" spans="1:9" x14ac:dyDescent="0.3">
      <c r="A29" s="195"/>
      <c r="B29" s="222"/>
      <c r="C29" s="133"/>
      <c r="D29" s="93" t="s">
        <v>61</v>
      </c>
      <c r="E29" s="93">
        <v>4</v>
      </c>
      <c r="F29" s="226"/>
      <c r="G29" s="158"/>
      <c r="H29" s="239"/>
      <c r="I29" s="242"/>
    </row>
    <row r="30" spans="1:9" ht="23.25" customHeight="1" x14ac:dyDescent="0.3">
      <c r="A30" s="195"/>
      <c r="B30" s="141"/>
      <c r="C30" s="133"/>
      <c r="D30" s="93" t="s">
        <v>49</v>
      </c>
      <c r="E30" s="93">
        <v>2</v>
      </c>
      <c r="F30" s="227"/>
      <c r="G30" s="158"/>
      <c r="H30" s="239"/>
      <c r="I30" s="242"/>
    </row>
    <row r="31" spans="1:9" x14ac:dyDescent="0.3">
      <c r="A31" s="195"/>
      <c r="B31" s="124">
        <v>7</v>
      </c>
      <c r="C31" s="130" t="s">
        <v>62</v>
      </c>
      <c r="D31" s="97" t="s">
        <v>63</v>
      </c>
      <c r="E31" s="93">
        <v>10</v>
      </c>
      <c r="F31" s="160">
        <v>10</v>
      </c>
      <c r="G31" s="158"/>
      <c r="H31" s="239"/>
      <c r="I31" s="242"/>
    </row>
    <row r="32" spans="1:9" ht="21.75" customHeight="1" x14ac:dyDescent="0.3">
      <c r="A32" s="195"/>
      <c r="B32" s="124"/>
      <c r="C32" s="130"/>
      <c r="D32" s="93" t="s">
        <v>64</v>
      </c>
      <c r="E32" s="93">
        <v>8</v>
      </c>
      <c r="F32" s="160"/>
      <c r="G32" s="158"/>
      <c r="H32" s="239"/>
      <c r="I32" s="242"/>
    </row>
    <row r="33" spans="1:9" x14ac:dyDescent="0.3">
      <c r="A33" s="195"/>
      <c r="B33" s="124"/>
      <c r="C33" s="130"/>
      <c r="D33" s="93" t="s">
        <v>65</v>
      </c>
      <c r="E33" s="93">
        <v>6</v>
      </c>
      <c r="F33" s="160"/>
      <c r="G33" s="158"/>
      <c r="H33" s="239"/>
      <c r="I33" s="242"/>
    </row>
    <row r="34" spans="1:9" ht="23.25" customHeight="1" x14ac:dyDescent="0.3">
      <c r="A34" s="195"/>
      <c r="B34" s="124">
        <v>8</v>
      </c>
      <c r="C34" s="130" t="s">
        <v>66</v>
      </c>
      <c r="D34" s="97">
        <v>1</v>
      </c>
      <c r="E34" s="93">
        <v>8</v>
      </c>
      <c r="F34" s="160">
        <v>8</v>
      </c>
      <c r="G34" s="158"/>
      <c r="H34" s="239"/>
      <c r="I34" s="242"/>
    </row>
    <row r="35" spans="1:9" ht="20.25" customHeight="1" x14ac:dyDescent="0.3">
      <c r="A35" s="195"/>
      <c r="B35" s="124"/>
      <c r="C35" s="130"/>
      <c r="D35" s="93" t="s">
        <v>61</v>
      </c>
      <c r="E35" s="93">
        <v>6</v>
      </c>
      <c r="F35" s="160"/>
      <c r="G35" s="158"/>
      <c r="H35" s="239"/>
      <c r="I35" s="242"/>
    </row>
    <row r="36" spans="1:9" ht="15" thickBot="1" x14ac:dyDescent="0.35">
      <c r="A36" s="195"/>
      <c r="B36" s="124"/>
      <c r="C36" s="130"/>
      <c r="D36" s="93" t="s">
        <v>49</v>
      </c>
      <c r="E36" s="93">
        <v>4</v>
      </c>
      <c r="F36" s="160"/>
      <c r="G36" s="158"/>
      <c r="H36" s="239"/>
      <c r="I36" s="242"/>
    </row>
    <row r="37" spans="1:9" ht="18.75" customHeight="1" thickBot="1" x14ac:dyDescent="0.35">
      <c r="A37" s="195"/>
      <c r="B37" s="125" t="s">
        <v>57</v>
      </c>
      <c r="C37" s="120"/>
      <c r="D37" s="120"/>
      <c r="E37" s="120"/>
      <c r="F37" s="120"/>
      <c r="G37" s="126"/>
      <c r="H37" s="239"/>
      <c r="I37" s="242"/>
    </row>
    <row r="38" spans="1:9" ht="15" customHeight="1" x14ac:dyDescent="0.3">
      <c r="A38" s="195"/>
      <c r="B38" s="124">
        <v>9</v>
      </c>
      <c r="C38" s="121" t="s">
        <v>67</v>
      </c>
      <c r="D38" s="98" t="s">
        <v>61</v>
      </c>
      <c r="E38" s="98">
        <v>4</v>
      </c>
      <c r="F38" s="122">
        <v>4</v>
      </c>
      <c r="G38" s="123"/>
      <c r="H38" s="239"/>
      <c r="I38" s="242"/>
    </row>
    <row r="39" spans="1:9" ht="15" customHeight="1" x14ac:dyDescent="0.3">
      <c r="A39" s="195"/>
      <c r="B39" s="124"/>
      <c r="C39" s="121"/>
      <c r="D39" s="98" t="s">
        <v>68</v>
      </c>
      <c r="E39" s="98">
        <v>3</v>
      </c>
      <c r="F39" s="122"/>
      <c r="G39" s="123"/>
      <c r="H39" s="239"/>
      <c r="I39" s="242"/>
    </row>
    <row r="40" spans="1:9" ht="15" customHeight="1" x14ac:dyDescent="0.3">
      <c r="A40" s="195"/>
      <c r="B40" s="124"/>
      <c r="C40" s="121"/>
      <c r="D40" s="98" t="s">
        <v>64</v>
      </c>
      <c r="E40" s="98">
        <v>2</v>
      </c>
      <c r="F40" s="122"/>
      <c r="G40" s="123"/>
      <c r="H40" s="239"/>
      <c r="I40" s="242"/>
    </row>
    <row r="41" spans="1:9" ht="57" thickBot="1" x14ac:dyDescent="0.35">
      <c r="A41" s="195"/>
      <c r="B41" s="96">
        <v>10</v>
      </c>
      <c r="C41" s="34" t="s">
        <v>69</v>
      </c>
      <c r="D41" s="98" t="s">
        <v>70</v>
      </c>
      <c r="E41" s="98">
        <v>10</v>
      </c>
      <c r="F41" s="48"/>
      <c r="G41" s="32"/>
      <c r="H41" s="239"/>
      <c r="I41" s="242"/>
    </row>
    <row r="42" spans="1:9" ht="15.75" customHeight="1" thickBot="1" x14ac:dyDescent="0.35">
      <c r="A42" s="195"/>
      <c r="B42" s="125" t="s">
        <v>71</v>
      </c>
      <c r="C42" s="120"/>
      <c r="D42" s="120"/>
      <c r="E42" s="120"/>
      <c r="F42" s="181"/>
      <c r="G42" s="182"/>
      <c r="H42" s="239"/>
      <c r="I42" s="242"/>
    </row>
    <row r="43" spans="1:9" ht="15" customHeight="1" x14ac:dyDescent="0.3">
      <c r="A43" s="195"/>
      <c r="B43" s="124">
        <v>11</v>
      </c>
      <c r="C43" s="121" t="s">
        <v>72</v>
      </c>
      <c r="D43" s="98" t="s">
        <v>73</v>
      </c>
      <c r="E43" s="98">
        <v>4</v>
      </c>
      <c r="F43" s="122">
        <v>32</v>
      </c>
      <c r="G43" s="123"/>
      <c r="H43" s="239"/>
      <c r="I43" s="242"/>
    </row>
    <row r="44" spans="1:9" ht="27.6" x14ac:dyDescent="0.3">
      <c r="A44" s="195"/>
      <c r="B44" s="124"/>
      <c r="C44" s="121"/>
      <c r="D44" s="98" t="s">
        <v>74</v>
      </c>
      <c r="E44" s="98">
        <v>7</v>
      </c>
      <c r="F44" s="122"/>
      <c r="G44" s="123"/>
      <c r="H44" s="239"/>
      <c r="I44" s="242"/>
    </row>
    <row r="45" spans="1:9" ht="15" customHeight="1" x14ac:dyDescent="0.3">
      <c r="A45" s="195"/>
      <c r="B45" s="124"/>
      <c r="C45" s="121"/>
      <c r="D45" s="98" t="s">
        <v>75</v>
      </c>
      <c r="E45" s="98">
        <v>11</v>
      </c>
      <c r="F45" s="122"/>
      <c r="G45" s="123"/>
      <c r="H45" s="239"/>
      <c r="I45" s="242"/>
    </row>
    <row r="46" spans="1:9" ht="15" customHeight="1" x14ac:dyDescent="0.3">
      <c r="A46" s="195"/>
      <c r="B46" s="124"/>
      <c r="C46" s="121"/>
      <c r="D46" s="98" t="s">
        <v>76</v>
      </c>
      <c r="E46" s="98">
        <v>15</v>
      </c>
      <c r="F46" s="122"/>
      <c r="G46" s="123"/>
      <c r="H46" s="239"/>
      <c r="I46" s="242"/>
    </row>
    <row r="47" spans="1:9" ht="27.6" x14ac:dyDescent="0.3">
      <c r="A47" s="195"/>
      <c r="B47" s="124"/>
      <c r="C47" s="121"/>
      <c r="D47" s="98" t="s">
        <v>77</v>
      </c>
      <c r="E47" s="98">
        <v>24</v>
      </c>
      <c r="F47" s="122"/>
      <c r="G47" s="123"/>
      <c r="H47" s="239"/>
      <c r="I47" s="242"/>
    </row>
    <row r="48" spans="1:9" ht="27.6" x14ac:dyDescent="0.3">
      <c r="A48" s="195"/>
      <c r="B48" s="124">
        <v>12</v>
      </c>
      <c r="C48" s="121" t="s">
        <v>78</v>
      </c>
      <c r="D48" s="98" t="s">
        <v>79</v>
      </c>
      <c r="E48" s="98">
        <v>14</v>
      </c>
      <c r="F48" s="122"/>
      <c r="G48" s="123"/>
      <c r="H48" s="239"/>
      <c r="I48" s="242"/>
    </row>
    <row r="49" spans="1:9" ht="15" customHeight="1" x14ac:dyDescent="0.3">
      <c r="A49" s="195"/>
      <c r="B49" s="124"/>
      <c r="C49" s="121"/>
      <c r="D49" s="98" t="s">
        <v>80</v>
      </c>
      <c r="E49" s="98">
        <v>8</v>
      </c>
      <c r="F49" s="122"/>
      <c r="G49" s="123"/>
      <c r="H49" s="239"/>
      <c r="I49" s="242"/>
    </row>
    <row r="50" spans="1:9" ht="15" customHeight="1" x14ac:dyDescent="0.3">
      <c r="A50" s="195"/>
      <c r="B50" s="124"/>
      <c r="C50" s="121"/>
      <c r="D50" s="98" t="s">
        <v>81</v>
      </c>
      <c r="E50" s="98">
        <v>6</v>
      </c>
      <c r="F50" s="122"/>
      <c r="G50" s="123"/>
      <c r="H50" s="239"/>
      <c r="I50" s="242"/>
    </row>
    <row r="51" spans="1:9" ht="21.75" customHeight="1" thickBot="1" x14ac:dyDescent="0.35">
      <c r="A51" s="195"/>
      <c r="B51" s="124"/>
      <c r="C51" s="121"/>
      <c r="D51" s="98" t="s">
        <v>82</v>
      </c>
      <c r="E51" s="98">
        <v>2</v>
      </c>
      <c r="F51" s="122"/>
      <c r="G51" s="123"/>
      <c r="H51" s="239"/>
      <c r="I51" s="242"/>
    </row>
    <row r="52" spans="1:9" ht="15.75" customHeight="1" thickBot="1" x14ac:dyDescent="0.35">
      <c r="A52" s="195"/>
      <c r="B52" s="125" t="s">
        <v>83</v>
      </c>
      <c r="C52" s="120"/>
      <c r="D52" s="120"/>
      <c r="E52" s="120"/>
      <c r="F52" s="120"/>
      <c r="G52" s="126"/>
      <c r="H52" s="239"/>
      <c r="I52" s="242"/>
    </row>
    <row r="53" spans="1:9" ht="32.25" customHeight="1" x14ac:dyDescent="0.3">
      <c r="A53" s="195"/>
      <c r="B53" s="140">
        <v>13</v>
      </c>
      <c r="C53" s="130" t="s">
        <v>84</v>
      </c>
      <c r="D53" s="98" t="s">
        <v>85</v>
      </c>
      <c r="E53" s="98">
        <v>8</v>
      </c>
      <c r="F53" s="122"/>
      <c r="G53" s="123"/>
      <c r="H53" s="239"/>
      <c r="I53" s="242"/>
    </row>
    <row r="54" spans="1:9" ht="39" customHeight="1" x14ac:dyDescent="0.3">
      <c r="A54" s="195"/>
      <c r="B54" s="141"/>
      <c r="C54" s="130"/>
      <c r="D54" s="98" t="s">
        <v>86</v>
      </c>
      <c r="E54" s="98">
        <v>4</v>
      </c>
      <c r="F54" s="122"/>
      <c r="G54" s="123"/>
      <c r="H54" s="239"/>
      <c r="I54" s="242"/>
    </row>
    <row r="55" spans="1:9" ht="15" customHeight="1" x14ac:dyDescent="0.3">
      <c r="A55" s="195"/>
      <c r="B55" s="124">
        <v>14</v>
      </c>
      <c r="C55" s="221" t="s">
        <v>87</v>
      </c>
      <c r="D55" s="98" t="s">
        <v>88</v>
      </c>
      <c r="E55" s="98">
        <v>6</v>
      </c>
      <c r="F55" s="122">
        <v>6</v>
      </c>
      <c r="G55" s="123"/>
      <c r="H55" s="239"/>
      <c r="I55" s="242"/>
    </row>
    <row r="56" spans="1:9" ht="15" customHeight="1" x14ac:dyDescent="0.3">
      <c r="A56" s="195"/>
      <c r="B56" s="124"/>
      <c r="C56" s="130"/>
      <c r="D56" s="98" t="s">
        <v>89</v>
      </c>
      <c r="E56" s="98">
        <v>4</v>
      </c>
      <c r="F56" s="122"/>
      <c r="G56" s="123"/>
      <c r="H56" s="239"/>
      <c r="I56" s="242"/>
    </row>
    <row r="57" spans="1:9" ht="15.75" customHeight="1" thickBot="1" x14ac:dyDescent="0.35">
      <c r="A57" s="196"/>
      <c r="B57" s="124"/>
      <c r="C57" s="130"/>
      <c r="D57" s="98" t="s">
        <v>90</v>
      </c>
      <c r="E57" s="98">
        <v>2</v>
      </c>
      <c r="F57" s="122"/>
      <c r="G57" s="123"/>
      <c r="H57" s="240"/>
      <c r="I57" s="243"/>
    </row>
    <row r="58" spans="1:9" s="54" customFormat="1" x14ac:dyDescent="0.3"/>
    <row r="59" spans="1:9" s="54" customFormat="1" ht="15.6" x14ac:dyDescent="0.3">
      <c r="A59" s="143" t="s">
        <v>91</v>
      </c>
      <c r="B59" s="143"/>
      <c r="C59" s="143"/>
      <c r="D59" s="143"/>
      <c r="E59" s="143"/>
      <c r="F59" s="144"/>
      <c r="G59" s="19">
        <f>SUM(G13:G18,F20:G25,G27:G36,G38:G41,G43:G51,G53:G57)</f>
        <v>0</v>
      </c>
    </row>
    <row r="60" spans="1:9" s="54" customFormat="1" x14ac:dyDescent="0.3"/>
    <row r="61" spans="1:9" ht="16.2" thickBot="1" x14ac:dyDescent="0.35">
      <c r="A61" s="145" t="s">
        <v>92</v>
      </c>
      <c r="B61" s="145"/>
      <c r="C61" s="145"/>
      <c r="D61" s="145"/>
      <c r="E61" s="145"/>
      <c r="F61" s="145"/>
      <c r="G61" s="146"/>
      <c r="H61" s="142" t="s">
        <v>31</v>
      </c>
      <c r="I61" s="142"/>
    </row>
    <row r="62" spans="1:9" ht="15.75" customHeight="1" thickBot="1" x14ac:dyDescent="0.35">
      <c r="A62" s="116" t="s">
        <v>41</v>
      </c>
      <c r="B62" s="18" t="s">
        <v>33</v>
      </c>
      <c r="C62" s="18" t="s">
        <v>34</v>
      </c>
      <c r="D62" s="17" t="s">
        <v>93</v>
      </c>
      <c r="E62" s="17" t="s">
        <v>36</v>
      </c>
      <c r="F62" s="17" t="s">
        <v>37</v>
      </c>
      <c r="G62" s="20" t="s">
        <v>38</v>
      </c>
      <c r="H62" s="18" t="s">
        <v>39</v>
      </c>
      <c r="I62" s="18" t="s">
        <v>40</v>
      </c>
    </row>
    <row r="63" spans="1:9" ht="15" thickBot="1" x14ac:dyDescent="0.35">
      <c r="A63" s="117"/>
      <c r="B63" s="125" t="s">
        <v>71</v>
      </c>
      <c r="C63" s="120"/>
      <c r="D63" s="120"/>
      <c r="E63" s="120"/>
      <c r="F63" s="120"/>
      <c r="G63" s="126"/>
      <c r="H63" s="125"/>
      <c r="I63" s="126"/>
    </row>
    <row r="64" spans="1:9" ht="27.6" x14ac:dyDescent="0.3">
      <c r="A64" s="117"/>
      <c r="B64" s="141">
        <v>1</v>
      </c>
      <c r="C64" s="161" t="s">
        <v>94</v>
      </c>
      <c r="D64" s="104" t="s">
        <v>95</v>
      </c>
      <c r="E64" s="104">
        <v>12</v>
      </c>
      <c r="F64" s="162">
        <v>24</v>
      </c>
      <c r="G64" s="163"/>
      <c r="H64" s="147" t="s">
        <v>96</v>
      </c>
      <c r="I64" s="150"/>
    </row>
    <row r="65" spans="1:9" ht="27.6" x14ac:dyDescent="0.3">
      <c r="A65" s="117"/>
      <c r="B65" s="124"/>
      <c r="C65" s="130"/>
      <c r="D65" s="104" t="s">
        <v>97</v>
      </c>
      <c r="E65" s="98">
        <v>24</v>
      </c>
      <c r="F65" s="122"/>
      <c r="G65" s="123"/>
      <c r="H65" s="148"/>
      <c r="I65" s="151"/>
    </row>
    <row r="66" spans="1:9" ht="57" x14ac:dyDescent="0.3">
      <c r="A66" s="117"/>
      <c r="B66" s="96">
        <v>2</v>
      </c>
      <c r="C66" s="105" t="s">
        <v>98</v>
      </c>
      <c r="D66" s="98" t="s">
        <v>99</v>
      </c>
      <c r="E66" s="98">
        <v>18</v>
      </c>
      <c r="F66" s="48">
        <v>6</v>
      </c>
      <c r="G66" s="32"/>
      <c r="H66" s="148"/>
      <c r="I66" s="151"/>
    </row>
    <row r="67" spans="1:9" x14ac:dyDescent="0.3">
      <c r="A67" s="117"/>
      <c r="B67" s="124">
        <v>3</v>
      </c>
      <c r="C67" s="121" t="s">
        <v>100</v>
      </c>
      <c r="D67" s="98" t="s">
        <v>101</v>
      </c>
      <c r="E67" s="98">
        <v>25</v>
      </c>
      <c r="F67" s="122"/>
      <c r="G67" s="123"/>
      <c r="H67" s="148"/>
      <c r="I67" s="151"/>
    </row>
    <row r="68" spans="1:9" x14ac:dyDescent="0.3">
      <c r="A68" s="117"/>
      <c r="B68" s="124"/>
      <c r="C68" s="121"/>
      <c r="D68" s="98" t="s">
        <v>102</v>
      </c>
      <c r="E68" s="98">
        <v>10</v>
      </c>
      <c r="F68" s="122"/>
      <c r="G68" s="123"/>
      <c r="H68" s="148"/>
      <c r="I68" s="151"/>
    </row>
    <row r="69" spans="1:9" x14ac:dyDescent="0.3">
      <c r="A69" s="117"/>
      <c r="B69" s="124"/>
      <c r="C69" s="121"/>
      <c r="D69" s="98" t="s">
        <v>103</v>
      </c>
      <c r="E69" s="98">
        <v>5</v>
      </c>
      <c r="F69" s="122"/>
      <c r="G69" s="123"/>
      <c r="H69" s="148"/>
      <c r="I69" s="151"/>
    </row>
    <row r="70" spans="1:9" ht="29.4" thickBot="1" x14ac:dyDescent="0.35">
      <c r="A70" s="117"/>
      <c r="B70" s="96">
        <v>4</v>
      </c>
      <c r="C70" s="106" t="s">
        <v>104</v>
      </c>
      <c r="D70" s="98" t="s">
        <v>105</v>
      </c>
      <c r="E70" s="98">
        <v>10</v>
      </c>
      <c r="F70" s="48"/>
      <c r="G70" s="32"/>
      <c r="H70" s="148"/>
      <c r="I70" s="151"/>
    </row>
    <row r="71" spans="1:9" ht="15" thickBot="1" x14ac:dyDescent="0.35">
      <c r="A71" s="117"/>
      <c r="B71" s="125" t="s">
        <v>106</v>
      </c>
      <c r="C71" s="120"/>
      <c r="D71" s="120"/>
      <c r="E71" s="120"/>
      <c r="F71" s="120"/>
      <c r="G71" s="126"/>
      <c r="H71" s="148"/>
      <c r="I71" s="151"/>
    </row>
    <row r="72" spans="1:9" ht="64.5" customHeight="1" thickBot="1" x14ac:dyDescent="0.35">
      <c r="A72" s="117"/>
      <c r="B72" s="96">
        <v>5</v>
      </c>
      <c r="C72" s="106" t="s">
        <v>107</v>
      </c>
      <c r="D72" s="98" t="s">
        <v>108</v>
      </c>
      <c r="E72" s="98">
        <v>5</v>
      </c>
      <c r="F72" s="48"/>
      <c r="G72" s="32"/>
      <c r="H72" s="148"/>
      <c r="I72" s="151"/>
    </row>
    <row r="73" spans="1:9" ht="15" thickBot="1" x14ac:dyDescent="0.35">
      <c r="A73" s="117"/>
      <c r="B73" s="125" t="s">
        <v>109</v>
      </c>
      <c r="C73" s="120"/>
      <c r="D73" s="120"/>
      <c r="E73" s="120"/>
      <c r="F73" s="120"/>
      <c r="G73" s="126"/>
      <c r="H73" s="148"/>
      <c r="I73" s="151"/>
    </row>
    <row r="74" spans="1:9" ht="55.2" x14ac:dyDescent="0.3">
      <c r="A74" s="117"/>
      <c r="B74" s="101">
        <v>6</v>
      </c>
      <c r="C74" s="103" t="s">
        <v>110</v>
      </c>
      <c r="D74" s="102" t="s">
        <v>111</v>
      </c>
      <c r="E74" s="102">
        <v>24</v>
      </c>
      <c r="F74" s="48">
        <v>18</v>
      </c>
      <c r="G74" s="32"/>
      <c r="H74" s="148"/>
      <c r="I74" s="151"/>
    </row>
    <row r="75" spans="1:9" x14ac:dyDescent="0.3">
      <c r="A75" s="117"/>
      <c r="B75" s="175">
        <v>7</v>
      </c>
      <c r="C75" s="127" t="s">
        <v>112</v>
      </c>
      <c r="D75" s="102" t="s">
        <v>113</v>
      </c>
      <c r="E75" s="102">
        <v>4</v>
      </c>
      <c r="F75" s="178"/>
      <c r="G75" s="188"/>
      <c r="H75" s="148"/>
      <c r="I75" s="151"/>
    </row>
    <row r="76" spans="1:9" x14ac:dyDescent="0.3">
      <c r="A76" s="117"/>
      <c r="B76" s="176"/>
      <c r="C76" s="128"/>
      <c r="D76" s="102" t="s">
        <v>114</v>
      </c>
      <c r="E76" s="102">
        <v>5</v>
      </c>
      <c r="F76" s="179"/>
      <c r="G76" s="189"/>
      <c r="H76" s="148"/>
      <c r="I76" s="151"/>
    </row>
    <row r="77" spans="1:9" x14ac:dyDescent="0.3">
      <c r="A77" s="117"/>
      <c r="B77" s="176"/>
      <c r="C77" s="128"/>
      <c r="D77" s="102" t="s">
        <v>115</v>
      </c>
      <c r="E77" s="102">
        <v>10</v>
      </c>
      <c r="F77" s="179"/>
      <c r="G77" s="189"/>
      <c r="H77" s="148"/>
      <c r="I77" s="151"/>
    </row>
    <row r="78" spans="1:9" x14ac:dyDescent="0.3">
      <c r="A78" s="117"/>
      <c r="B78" s="176"/>
      <c r="C78" s="128"/>
      <c r="D78" s="102" t="s">
        <v>116</v>
      </c>
      <c r="E78" s="102">
        <v>18</v>
      </c>
      <c r="F78" s="179"/>
      <c r="G78" s="189"/>
      <c r="H78" s="148"/>
      <c r="I78" s="151"/>
    </row>
    <row r="79" spans="1:9" ht="27.6" x14ac:dyDescent="0.3">
      <c r="A79" s="117"/>
      <c r="B79" s="177"/>
      <c r="C79" s="129"/>
      <c r="D79" s="102" t="s">
        <v>117</v>
      </c>
      <c r="E79" s="102">
        <v>24</v>
      </c>
      <c r="F79" s="162"/>
      <c r="G79" s="190"/>
      <c r="H79" s="148"/>
      <c r="I79" s="151"/>
    </row>
    <row r="80" spans="1:9" x14ac:dyDescent="0.3">
      <c r="A80" s="117"/>
      <c r="B80" s="131">
        <v>8</v>
      </c>
      <c r="C80" s="127" t="s">
        <v>118</v>
      </c>
      <c r="D80" s="102" t="s">
        <v>119</v>
      </c>
      <c r="E80" s="102">
        <v>24</v>
      </c>
      <c r="F80" s="122"/>
      <c r="G80" s="164"/>
      <c r="H80" s="148"/>
      <c r="I80" s="151"/>
    </row>
    <row r="81" spans="1:9" x14ac:dyDescent="0.3">
      <c r="A81" s="117"/>
      <c r="B81" s="131"/>
      <c r="C81" s="128"/>
      <c r="D81" s="102" t="s">
        <v>120</v>
      </c>
      <c r="E81" s="102">
        <v>18</v>
      </c>
      <c r="F81" s="122"/>
      <c r="G81" s="165"/>
      <c r="H81" s="148"/>
      <c r="I81" s="151"/>
    </row>
    <row r="82" spans="1:9" x14ac:dyDescent="0.3">
      <c r="A82" s="117"/>
      <c r="B82" s="131"/>
      <c r="C82" s="128"/>
      <c r="D82" s="102" t="s">
        <v>121</v>
      </c>
      <c r="E82" s="102">
        <v>12</v>
      </c>
      <c r="F82" s="122"/>
      <c r="G82" s="165"/>
      <c r="H82" s="148"/>
      <c r="I82" s="151"/>
    </row>
    <row r="83" spans="1:9" ht="15" thickBot="1" x14ac:dyDescent="0.35">
      <c r="A83" s="117"/>
      <c r="B83" s="131"/>
      <c r="C83" s="129"/>
      <c r="D83" s="102" t="s">
        <v>122</v>
      </c>
      <c r="E83" s="102">
        <v>8</v>
      </c>
      <c r="F83" s="122"/>
      <c r="G83" s="163"/>
      <c r="H83" s="148"/>
      <c r="I83" s="151"/>
    </row>
    <row r="84" spans="1:9" ht="15.75" customHeight="1" thickBot="1" x14ac:dyDescent="0.35">
      <c r="A84" s="117"/>
      <c r="B84" s="120" t="s">
        <v>71</v>
      </c>
      <c r="C84" s="120"/>
      <c r="D84" s="120"/>
      <c r="E84" s="120"/>
      <c r="F84" s="120"/>
      <c r="G84" s="120"/>
      <c r="H84" s="148"/>
      <c r="I84" s="151"/>
    </row>
    <row r="85" spans="1:9" ht="15" customHeight="1" x14ac:dyDescent="0.3">
      <c r="A85" s="117"/>
      <c r="B85" s="124">
        <v>9</v>
      </c>
      <c r="C85" s="121" t="s">
        <v>123</v>
      </c>
      <c r="D85" s="98" t="s">
        <v>124</v>
      </c>
      <c r="E85" s="98">
        <v>6</v>
      </c>
      <c r="F85" s="122"/>
      <c r="G85" s="123"/>
      <c r="H85" s="148"/>
      <c r="I85" s="151"/>
    </row>
    <row r="86" spans="1:9" ht="15" customHeight="1" x14ac:dyDescent="0.3">
      <c r="A86" s="117"/>
      <c r="B86" s="124"/>
      <c r="C86" s="121"/>
      <c r="D86" s="98">
        <v>1</v>
      </c>
      <c r="E86" s="98">
        <v>3</v>
      </c>
      <c r="F86" s="122"/>
      <c r="G86" s="123"/>
      <c r="H86" s="148"/>
      <c r="I86" s="151"/>
    </row>
    <row r="87" spans="1:9" ht="15" customHeight="1" x14ac:dyDescent="0.3">
      <c r="A87" s="117"/>
      <c r="B87" s="124">
        <v>10</v>
      </c>
      <c r="C87" s="121" t="s">
        <v>125</v>
      </c>
      <c r="D87" s="98" t="s">
        <v>126</v>
      </c>
      <c r="E87" s="98">
        <v>6</v>
      </c>
      <c r="F87" s="122"/>
      <c r="G87" s="123"/>
      <c r="H87" s="148"/>
      <c r="I87" s="151"/>
    </row>
    <row r="88" spans="1:9" ht="15" customHeight="1" x14ac:dyDescent="0.3">
      <c r="A88" s="117"/>
      <c r="B88" s="124"/>
      <c r="C88" s="121"/>
      <c r="D88" s="98" t="s">
        <v>127</v>
      </c>
      <c r="E88" s="98">
        <v>3</v>
      </c>
      <c r="F88" s="122"/>
      <c r="G88" s="123"/>
      <c r="H88" s="148"/>
      <c r="I88" s="151"/>
    </row>
    <row r="89" spans="1:9" ht="79.2" x14ac:dyDescent="0.3">
      <c r="A89" s="117"/>
      <c r="B89" s="96">
        <v>11</v>
      </c>
      <c r="C89" s="105" t="s">
        <v>128</v>
      </c>
      <c r="D89" s="98" t="s">
        <v>129</v>
      </c>
      <c r="E89" s="98">
        <v>5</v>
      </c>
      <c r="F89" s="48"/>
      <c r="G89" s="32"/>
      <c r="H89" s="148"/>
      <c r="I89" s="151"/>
    </row>
    <row r="90" spans="1:9" ht="29.4" thickBot="1" x14ac:dyDescent="0.35">
      <c r="A90" s="117"/>
      <c r="B90" s="96">
        <v>12</v>
      </c>
      <c r="C90" s="105" t="s">
        <v>130</v>
      </c>
      <c r="D90" s="98" t="s">
        <v>131</v>
      </c>
      <c r="E90" s="98">
        <v>15</v>
      </c>
      <c r="F90" s="48">
        <v>30</v>
      </c>
      <c r="G90" s="32"/>
      <c r="H90" s="148"/>
      <c r="I90" s="151"/>
    </row>
    <row r="91" spans="1:9" ht="15.75" customHeight="1" thickBot="1" x14ac:dyDescent="0.35">
      <c r="A91" s="117"/>
      <c r="B91" s="120" t="s">
        <v>109</v>
      </c>
      <c r="C91" s="120"/>
      <c r="D91" s="120"/>
      <c r="E91" s="120"/>
      <c r="F91" s="120"/>
      <c r="G91" s="120"/>
      <c r="H91" s="148"/>
      <c r="I91" s="151"/>
    </row>
    <row r="92" spans="1:9" ht="15" customHeight="1" x14ac:dyDescent="0.3">
      <c r="A92" s="117"/>
      <c r="B92" s="124">
        <v>13</v>
      </c>
      <c r="C92" s="130" t="s">
        <v>132</v>
      </c>
      <c r="D92" s="98" t="s">
        <v>133</v>
      </c>
      <c r="E92" s="98">
        <v>16</v>
      </c>
      <c r="F92" s="122"/>
      <c r="G92" s="123"/>
      <c r="H92" s="148"/>
      <c r="I92" s="151"/>
    </row>
    <row r="93" spans="1:9" ht="15" customHeight="1" x14ac:dyDescent="0.3">
      <c r="A93" s="117"/>
      <c r="B93" s="124"/>
      <c r="C93" s="130"/>
      <c r="D93" s="98" t="s">
        <v>134</v>
      </c>
      <c r="E93" s="98">
        <v>12</v>
      </c>
      <c r="F93" s="122"/>
      <c r="G93" s="123"/>
      <c r="H93" s="148"/>
      <c r="I93" s="151"/>
    </row>
    <row r="94" spans="1:9" ht="15" customHeight="1" thickBot="1" x14ac:dyDescent="0.35">
      <c r="A94" s="117"/>
      <c r="B94" s="124"/>
      <c r="C94" s="130"/>
      <c r="D94" s="98" t="s">
        <v>135</v>
      </c>
      <c r="E94" s="98">
        <v>4</v>
      </c>
      <c r="F94" s="122"/>
      <c r="G94" s="123"/>
      <c r="H94" s="148"/>
      <c r="I94" s="151"/>
    </row>
    <row r="95" spans="1:9" ht="15" customHeight="1" thickBot="1" x14ac:dyDescent="0.35">
      <c r="A95" s="117"/>
      <c r="B95" s="119" t="s">
        <v>106</v>
      </c>
      <c r="C95" s="120"/>
      <c r="D95" s="120"/>
      <c r="E95" s="120"/>
      <c r="F95" s="120"/>
      <c r="G95" s="120"/>
      <c r="H95" s="148"/>
      <c r="I95" s="151"/>
    </row>
    <row r="96" spans="1:9" ht="15" customHeight="1" x14ac:dyDescent="0.3">
      <c r="A96" s="117"/>
      <c r="B96" s="124">
        <v>14</v>
      </c>
      <c r="C96" s="130" t="s">
        <v>136</v>
      </c>
      <c r="D96" s="98" t="s">
        <v>133</v>
      </c>
      <c r="E96" s="98">
        <v>10</v>
      </c>
      <c r="F96" s="122"/>
      <c r="G96" s="123"/>
      <c r="H96" s="148"/>
      <c r="I96" s="151"/>
    </row>
    <row r="97" spans="1:9" ht="15" customHeight="1" x14ac:dyDescent="0.3">
      <c r="A97" s="117"/>
      <c r="B97" s="124"/>
      <c r="C97" s="130"/>
      <c r="D97" s="98" t="s">
        <v>134</v>
      </c>
      <c r="E97" s="98">
        <v>4</v>
      </c>
      <c r="F97" s="122"/>
      <c r="G97" s="123"/>
      <c r="H97" s="148"/>
      <c r="I97" s="151"/>
    </row>
    <row r="98" spans="1:9" ht="15.75" customHeight="1" x14ac:dyDescent="0.3">
      <c r="A98" s="117"/>
      <c r="B98" s="124"/>
      <c r="C98" s="130"/>
      <c r="D98" s="98" t="s">
        <v>135</v>
      </c>
      <c r="E98" s="98">
        <v>1</v>
      </c>
      <c r="F98" s="122"/>
      <c r="G98" s="123"/>
      <c r="H98" s="148"/>
      <c r="I98" s="151"/>
    </row>
    <row r="99" spans="1:9" ht="27.6" x14ac:dyDescent="0.3">
      <c r="A99" s="117"/>
      <c r="B99" s="96">
        <v>15</v>
      </c>
      <c r="C99" s="105" t="s">
        <v>137</v>
      </c>
      <c r="D99" s="98" t="s">
        <v>138</v>
      </c>
      <c r="E99" s="98">
        <v>7</v>
      </c>
      <c r="F99" s="48"/>
      <c r="G99" s="32"/>
      <c r="H99" s="148"/>
      <c r="I99" s="151"/>
    </row>
    <row r="100" spans="1:9" ht="28.2" thickBot="1" x14ac:dyDescent="0.35">
      <c r="A100" s="118"/>
      <c r="B100" s="96">
        <v>16</v>
      </c>
      <c r="C100" s="105" t="s">
        <v>139</v>
      </c>
      <c r="D100" s="98" t="s">
        <v>138</v>
      </c>
      <c r="E100" s="98">
        <v>7</v>
      </c>
      <c r="F100" s="48"/>
      <c r="G100" s="32"/>
      <c r="H100" s="149"/>
      <c r="I100" s="152"/>
    </row>
    <row r="101" spans="1:9" s="54" customFormat="1" ht="15" customHeight="1" x14ac:dyDescent="0.3"/>
    <row r="102" spans="1:9" s="54" customFormat="1" ht="15.6" x14ac:dyDescent="0.3">
      <c r="A102" s="143" t="s">
        <v>140</v>
      </c>
      <c r="B102" s="143"/>
      <c r="C102" s="143"/>
      <c r="D102" s="143"/>
      <c r="E102" s="143"/>
      <c r="F102" s="144"/>
      <c r="G102" s="19">
        <f>SUM(G64:G70,G72,G74:G83,G85:G90,G92,G96:G100)</f>
        <v>0</v>
      </c>
    </row>
    <row r="103" spans="1:9" s="54" customFormat="1" x14ac:dyDescent="0.3"/>
    <row r="104" spans="1:9" ht="16.2" thickBot="1" x14ac:dyDescent="0.35">
      <c r="A104" s="145" t="s">
        <v>141</v>
      </c>
      <c r="B104" s="145"/>
      <c r="C104" s="145"/>
      <c r="D104" s="145"/>
      <c r="E104" s="145"/>
      <c r="F104" s="145"/>
      <c r="G104" s="146"/>
      <c r="H104" s="142" t="s">
        <v>31</v>
      </c>
      <c r="I104" s="142"/>
    </row>
    <row r="105" spans="1:9" ht="15.75" customHeight="1" thickBot="1" x14ac:dyDescent="0.35">
      <c r="A105" s="116" t="s">
        <v>42</v>
      </c>
      <c r="B105" s="36" t="s">
        <v>33</v>
      </c>
      <c r="C105" s="16" t="s">
        <v>34</v>
      </c>
      <c r="D105" s="17" t="s">
        <v>93</v>
      </c>
      <c r="E105" s="17" t="s">
        <v>36</v>
      </c>
      <c r="F105" s="17" t="s">
        <v>37</v>
      </c>
      <c r="G105" s="17" t="s">
        <v>38</v>
      </c>
      <c r="H105" s="18" t="s">
        <v>39</v>
      </c>
      <c r="I105" s="18" t="s">
        <v>40</v>
      </c>
    </row>
    <row r="106" spans="1:9" ht="15" thickBot="1" x14ac:dyDescent="0.35">
      <c r="A106" s="117"/>
      <c r="B106" s="120" t="s">
        <v>71</v>
      </c>
      <c r="C106" s="120"/>
      <c r="D106" s="120"/>
      <c r="E106" s="120"/>
      <c r="F106" s="120"/>
      <c r="G106" s="120"/>
      <c r="H106" s="125"/>
      <c r="I106" s="126"/>
    </row>
    <row r="107" spans="1:9" ht="28.5" customHeight="1" x14ac:dyDescent="0.3">
      <c r="A107" s="117"/>
      <c r="B107" s="141">
        <v>1</v>
      </c>
      <c r="C107" s="161" t="s">
        <v>142</v>
      </c>
      <c r="D107" s="104" t="s">
        <v>143</v>
      </c>
      <c r="E107" s="104">
        <v>8</v>
      </c>
      <c r="F107" s="162"/>
      <c r="G107" s="163"/>
      <c r="H107" s="147" t="s">
        <v>144</v>
      </c>
      <c r="I107" s="150"/>
    </row>
    <row r="108" spans="1:9" x14ac:dyDescent="0.3">
      <c r="A108" s="117"/>
      <c r="B108" s="124"/>
      <c r="C108" s="130"/>
      <c r="D108" s="98" t="s">
        <v>145</v>
      </c>
      <c r="E108" s="98">
        <v>16</v>
      </c>
      <c r="F108" s="122"/>
      <c r="G108" s="123"/>
      <c r="H108" s="148"/>
      <c r="I108" s="151"/>
    </row>
    <row r="109" spans="1:9" x14ac:dyDescent="0.3">
      <c r="A109" s="117"/>
      <c r="B109" s="124"/>
      <c r="C109" s="130"/>
      <c r="D109" s="98" t="s">
        <v>146</v>
      </c>
      <c r="E109" s="98">
        <v>24</v>
      </c>
      <c r="F109" s="122"/>
      <c r="G109" s="123"/>
      <c r="H109" s="148"/>
      <c r="I109" s="151"/>
    </row>
    <row r="110" spans="1:9" ht="55.8" thickBot="1" x14ac:dyDescent="0.35">
      <c r="A110" s="117"/>
      <c r="B110" s="96">
        <v>2</v>
      </c>
      <c r="C110" s="105" t="s">
        <v>147</v>
      </c>
      <c r="D110" s="98" t="s">
        <v>148</v>
      </c>
      <c r="E110" s="98">
        <v>24</v>
      </c>
      <c r="F110" s="48">
        <v>24</v>
      </c>
      <c r="G110" s="32"/>
      <c r="H110" s="148"/>
      <c r="I110" s="151"/>
    </row>
    <row r="111" spans="1:9" ht="15" thickBot="1" x14ac:dyDescent="0.35">
      <c r="A111" s="117"/>
      <c r="B111" s="120" t="s">
        <v>109</v>
      </c>
      <c r="C111" s="120"/>
      <c r="D111" s="120"/>
      <c r="E111" s="120"/>
      <c r="F111" s="120"/>
      <c r="G111" s="120"/>
      <c r="H111" s="148"/>
      <c r="I111" s="151"/>
    </row>
    <row r="112" spans="1:9" ht="85.2" thickBot="1" x14ac:dyDescent="0.35">
      <c r="A112" s="117"/>
      <c r="B112" s="101">
        <v>3</v>
      </c>
      <c r="C112" s="103" t="s">
        <v>149</v>
      </c>
      <c r="D112" s="102" t="s">
        <v>150</v>
      </c>
      <c r="E112" s="102">
        <v>20</v>
      </c>
      <c r="F112" s="48"/>
      <c r="G112" s="32"/>
      <c r="H112" s="148"/>
      <c r="I112" s="151"/>
    </row>
    <row r="113" spans="1:9" ht="15.75" customHeight="1" thickBot="1" x14ac:dyDescent="0.35">
      <c r="A113" s="117"/>
      <c r="B113" s="120" t="s">
        <v>71</v>
      </c>
      <c r="C113" s="120"/>
      <c r="D113" s="120"/>
      <c r="E113" s="120"/>
      <c r="F113" s="120"/>
      <c r="G113" s="120"/>
      <c r="H113" s="148"/>
      <c r="I113" s="151"/>
    </row>
    <row r="114" spans="1:9" ht="60" customHeight="1" x14ac:dyDescent="0.3">
      <c r="A114" s="117"/>
      <c r="B114" s="96">
        <v>4</v>
      </c>
      <c r="C114" s="105" t="s">
        <v>151</v>
      </c>
      <c r="D114" s="98" t="s">
        <v>152</v>
      </c>
      <c r="E114" s="98">
        <v>4</v>
      </c>
      <c r="F114" s="48"/>
      <c r="G114" s="32"/>
      <c r="H114" s="148"/>
      <c r="I114" s="151"/>
    </row>
    <row r="115" spans="1:9" ht="58.5" customHeight="1" x14ac:dyDescent="0.3">
      <c r="A115" s="117"/>
      <c r="B115" s="96">
        <v>5</v>
      </c>
      <c r="C115" s="105" t="s">
        <v>153</v>
      </c>
      <c r="D115" s="98" t="s">
        <v>154</v>
      </c>
      <c r="E115" s="98">
        <v>8</v>
      </c>
      <c r="F115" s="48"/>
      <c r="G115" s="32"/>
      <c r="H115" s="148"/>
      <c r="I115" s="151"/>
    </row>
    <row r="116" spans="1:9" ht="69" customHeight="1" x14ac:dyDescent="0.3">
      <c r="A116" s="117"/>
      <c r="B116" s="96">
        <v>6</v>
      </c>
      <c r="C116" s="105" t="s">
        <v>155</v>
      </c>
      <c r="D116" s="98" t="s">
        <v>156</v>
      </c>
      <c r="E116" s="98">
        <v>12</v>
      </c>
      <c r="F116" s="48"/>
      <c r="G116" s="32"/>
      <c r="H116" s="148"/>
      <c r="I116" s="151"/>
    </row>
    <row r="117" spans="1:9" ht="50.25" customHeight="1" x14ac:dyDescent="0.3">
      <c r="A117" s="117"/>
      <c r="B117" s="96">
        <v>7</v>
      </c>
      <c r="C117" s="105" t="s">
        <v>157</v>
      </c>
      <c r="D117" s="98" t="s">
        <v>158</v>
      </c>
      <c r="E117" s="98">
        <v>6</v>
      </c>
      <c r="F117" s="48"/>
      <c r="G117" s="32"/>
      <c r="H117" s="148"/>
      <c r="I117" s="151"/>
    </row>
    <row r="118" spans="1:9" ht="51" customHeight="1" x14ac:dyDescent="0.3">
      <c r="A118" s="117"/>
      <c r="B118" s="96">
        <v>8</v>
      </c>
      <c r="C118" s="105" t="s">
        <v>159</v>
      </c>
      <c r="D118" s="98" t="s">
        <v>160</v>
      </c>
      <c r="E118" s="98">
        <v>14</v>
      </c>
      <c r="F118" s="48"/>
      <c r="G118" s="32"/>
      <c r="H118" s="148"/>
      <c r="I118" s="151"/>
    </row>
    <row r="119" spans="1:9" ht="28.8" x14ac:dyDescent="0.3">
      <c r="A119" s="117"/>
      <c r="B119" s="96">
        <v>9</v>
      </c>
      <c r="C119" s="105" t="s">
        <v>161</v>
      </c>
      <c r="D119" s="98" t="s">
        <v>160</v>
      </c>
      <c r="E119" s="98">
        <v>9</v>
      </c>
      <c r="F119" s="48"/>
      <c r="G119" s="32"/>
      <c r="H119" s="148"/>
      <c r="I119" s="151"/>
    </row>
    <row r="120" spans="1:9" ht="29.4" thickBot="1" x14ac:dyDescent="0.35">
      <c r="A120" s="117"/>
      <c r="B120" s="96">
        <v>10</v>
      </c>
      <c r="C120" s="105" t="s">
        <v>162</v>
      </c>
      <c r="D120" s="98" t="s">
        <v>160</v>
      </c>
      <c r="E120" s="98">
        <v>5</v>
      </c>
      <c r="F120" s="48"/>
      <c r="G120" s="32"/>
      <c r="H120" s="148"/>
      <c r="I120" s="151"/>
    </row>
    <row r="121" spans="1:9" ht="15.75" customHeight="1" thickBot="1" x14ac:dyDescent="0.35">
      <c r="A121" s="117"/>
      <c r="B121" s="120" t="s">
        <v>109</v>
      </c>
      <c r="C121" s="120"/>
      <c r="D121" s="120"/>
      <c r="E121" s="120"/>
      <c r="F121" s="120"/>
      <c r="G121" s="120"/>
      <c r="H121" s="148"/>
      <c r="I121" s="151"/>
    </row>
    <row r="122" spans="1:9" ht="56.4" thickBot="1" x14ac:dyDescent="0.35">
      <c r="A122" s="118"/>
      <c r="B122" s="96">
        <v>11</v>
      </c>
      <c r="C122" s="105" t="s">
        <v>163</v>
      </c>
      <c r="D122" s="98" t="s">
        <v>164</v>
      </c>
      <c r="E122" s="98">
        <v>10</v>
      </c>
      <c r="F122" s="48"/>
      <c r="G122" s="32"/>
      <c r="H122" s="149"/>
      <c r="I122" s="152"/>
    </row>
    <row r="123" spans="1:9" s="54" customFormat="1" x14ac:dyDescent="0.3"/>
    <row r="124" spans="1:9" s="54" customFormat="1" ht="15.6" x14ac:dyDescent="0.3">
      <c r="A124" s="143" t="s">
        <v>165</v>
      </c>
      <c r="B124" s="143"/>
      <c r="C124" s="143"/>
      <c r="D124" s="143"/>
      <c r="E124" s="143"/>
      <c r="F124" s="144"/>
      <c r="G124" s="19">
        <f>SUM(G107:G110,G112,G114:G120,G122)</f>
        <v>0</v>
      </c>
    </row>
    <row r="125" spans="1:9" s="54" customFormat="1" x14ac:dyDescent="0.3"/>
    <row r="126" spans="1:9" ht="16.2" thickBot="1" x14ac:dyDescent="0.35">
      <c r="A126" s="145" t="s">
        <v>166</v>
      </c>
      <c r="B126" s="145"/>
      <c r="C126" s="145"/>
      <c r="D126" s="145"/>
      <c r="E126" s="145"/>
      <c r="F126" s="145"/>
      <c r="G126" s="146"/>
      <c r="H126" s="142" t="s">
        <v>31</v>
      </c>
      <c r="I126" s="142"/>
    </row>
    <row r="127" spans="1:9" ht="15.75" customHeight="1" thickBot="1" x14ac:dyDescent="0.35">
      <c r="A127" s="116" t="s">
        <v>43</v>
      </c>
      <c r="B127" s="18" t="s">
        <v>33</v>
      </c>
      <c r="C127" s="16" t="s">
        <v>34</v>
      </c>
      <c r="D127" s="17" t="s">
        <v>93</v>
      </c>
      <c r="E127" s="17" t="s">
        <v>36</v>
      </c>
      <c r="F127" s="17" t="s">
        <v>37</v>
      </c>
      <c r="G127" s="17" t="s">
        <v>38</v>
      </c>
      <c r="H127" s="18" t="s">
        <v>39</v>
      </c>
      <c r="I127" s="18" t="s">
        <v>40</v>
      </c>
    </row>
    <row r="128" spans="1:9" ht="15" thickBot="1" x14ac:dyDescent="0.35">
      <c r="A128" s="117"/>
      <c r="B128" s="120" t="s">
        <v>109</v>
      </c>
      <c r="C128" s="120"/>
      <c r="D128" s="120"/>
      <c r="E128" s="120"/>
      <c r="F128" s="120"/>
      <c r="G128" s="120"/>
      <c r="H128" s="125"/>
      <c r="I128" s="126"/>
    </row>
    <row r="129" spans="1:9" ht="43.2" x14ac:dyDescent="0.3">
      <c r="A129" s="117"/>
      <c r="B129" s="107">
        <v>1</v>
      </c>
      <c r="C129" s="99" t="s">
        <v>167</v>
      </c>
      <c r="D129" s="100" t="s">
        <v>168</v>
      </c>
      <c r="E129" s="100">
        <v>30</v>
      </c>
      <c r="F129" s="49"/>
      <c r="G129" s="33"/>
      <c r="H129" s="147" t="s">
        <v>169</v>
      </c>
      <c r="I129" s="150"/>
    </row>
    <row r="130" spans="1:9" ht="69" x14ac:dyDescent="0.3">
      <c r="A130" s="117"/>
      <c r="B130" s="101">
        <v>2</v>
      </c>
      <c r="C130" s="103" t="s">
        <v>170</v>
      </c>
      <c r="D130" s="102" t="s">
        <v>171</v>
      </c>
      <c r="E130" s="102">
        <v>30</v>
      </c>
      <c r="F130" s="48">
        <v>16</v>
      </c>
      <c r="G130" s="32"/>
      <c r="H130" s="148"/>
      <c r="I130" s="151"/>
    </row>
    <row r="131" spans="1:9" x14ac:dyDescent="0.3">
      <c r="A131" s="117"/>
      <c r="B131" s="175">
        <v>3</v>
      </c>
      <c r="C131" s="127" t="s">
        <v>172</v>
      </c>
      <c r="D131" s="102" t="s">
        <v>173</v>
      </c>
      <c r="E131" s="102">
        <v>4</v>
      </c>
      <c r="F131" s="178">
        <v>7</v>
      </c>
      <c r="G131" s="164"/>
      <c r="H131" s="148"/>
      <c r="I131" s="151"/>
    </row>
    <row r="132" spans="1:9" x14ac:dyDescent="0.3">
      <c r="A132" s="117"/>
      <c r="B132" s="176"/>
      <c r="C132" s="128"/>
      <c r="D132" s="102" t="s">
        <v>174</v>
      </c>
      <c r="E132" s="102">
        <v>7</v>
      </c>
      <c r="F132" s="179"/>
      <c r="G132" s="165"/>
      <c r="H132" s="148"/>
      <c r="I132" s="151"/>
    </row>
    <row r="133" spans="1:9" ht="27.6" x14ac:dyDescent="0.3">
      <c r="A133" s="117"/>
      <c r="B133" s="177"/>
      <c r="C133" s="129"/>
      <c r="D133" s="108" t="s">
        <v>175</v>
      </c>
      <c r="E133" s="102">
        <v>10</v>
      </c>
      <c r="F133" s="162"/>
      <c r="G133" s="163"/>
      <c r="H133" s="148"/>
      <c r="I133" s="151"/>
    </row>
    <row r="134" spans="1:9" ht="27.75" customHeight="1" x14ac:dyDescent="0.3">
      <c r="A134" s="117"/>
      <c r="B134" s="175">
        <v>4</v>
      </c>
      <c r="C134" s="183" t="s">
        <v>176</v>
      </c>
      <c r="D134" s="102" t="s">
        <v>177</v>
      </c>
      <c r="E134" s="102">
        <v>5</v>
      </c>
      <c r="F134" s="122"/>
      <c r="G134" s="123"/>
      <c r="H134" s="148"/>
      <c r="I134" s="151"/>
    </row>
    <row r="135" spans="1:9" ht="30" customHeight="1" thickBot="1" x14ac:dyDescent="0.35">
      <c r="A135" s="117"/>
      <c r="B135" s="185"/>
      <c r="C135" s="184"/>
      <c r="D135" s="109" t="s">
        <v>178</v>
      </c>
      <c r="E135" s="109">
        <v>10</v>
      </c>
      <c r="F135" s="186"/>
      <c r="G135" s="191"/>
      <c r="H135" s="148"/>
      <c r="I135" s="151"/>
    </row>
    <row r="136" spans="1:9" ht="15" customHeight="1" thickBot="1" x14ac:dyDescent="0.35">
      <c r="A136" s="117"/>
      <c r="B136" s="180" t="s">
        <v>109</v>
      </c>
      <c r="C136" s="181"/>
      <c r="D136" s="181"/>
      <c r="E136" s="181"/>
      <c r="F136" s="181"/>
      <c r="G136" s="182"/>
      <c r="H136" s="148"/>
      <c r="I136" s="151"/>
    </row>
    <row r="137" spans="1:9" ht="15" customHeight="1" x14ac:dyDescent="0.3">
      <c r="A137" s="117"/>
      <c r="B137" s="141">
        <v>5</v>
      </c>
      <c r="C137" s="192" t="s">
        <v>179</v>
      </c>
      <c r="D137" s="104" t="s">
        <v>173</v>
      </c>
      <c r="E137" s="104">
        <v>4</v>
      </c>
      <c r="F137" s="179">
        <v>16</v>
      </c>
      <c r="G137" s="189"/>
      <c r="H137" s="148"/>
      <c r="I137" s="151"/>
    </row>
    <row r="138" spans="1:9" ht="15" customHeight="1" x14ac:dyDescent="0.3">
      <c r="A138" s="117"/>
      <c r="B138" s="124"/>
      <c r="C138" s="192"/>
      <c r="D138" s="98" t="s">
        <v>174</v>
      </c>
      <c r="E138" s="98">
        <v>7</v>
      </c>
      <c r="F138" s="179"/>
      <c r="G138" s="189"/>
      <c r="H138" s="148"/>
      <c r="I138" s="151"/>
    </row>
    <row r="139" spans="1:9" ht="27.6" x14ac:dyDescent="0.3">
      <c r="A139" s="117"/>
      <c r="B139" s="124"/>
      <c r="C139" s="193"/>
      <c r="D139" s="98" t="s">
        <v>180</v>
      </c>
      <c r="E139" s="98">
        <v>10</v>
      </c>
      <c r="F139" s="162"/>
      <c r="G139" s="190"/>
      <c r="H139" s="148"/>
      <c r="I139" s="151"/>
    </row>
    <row r="140" spans="1:9" ht="70.8" x14ac:dyDescent="0.3">
      <c r="A140" s="117"/>
      <c r="B140" s="96">
        <v>6</v>
      </c>
      <c r="C140" s="34" t="s">
        <v>181</v>
      </c>
      <c r="D140" s="98" t="s">
        <v>182</v>
      </c>
      <c r="E140" s="98">
        <v>20</v>
      </c>
      <c r="F140" s="48"/>
      <c r="G140" s="32"/>
      <c r="H140" s="148"/>
      <c r="I140" s="151"/>
    </row>
    <row r="141" spans="1:9" ht="15" customHeight="1" x14ac:dyDescent="0.3">
      <c r="A141" s="117"/>
      <c r="B141" s="137">
        <v>7</v>
      </c>
      <c r="C141" s="208" t="s">
        <v>183</v>
      </c>
      <c r="D141" s="104" t="s">
        <v>173</v>
      </c>
      <c r="E141" s="104">
        <v>4</v>
      </c>
      <c r="F141" s="178"/>
      <c r="G141" s="188"/>
      <c r="H141" s="148"/>
      <c r="I141" s="151"/>
    </row>
    <row r="142" spans="1:9" ht="15" customHeight="1" x14ac:dyDescent="0.3">
      <c r="A142" s="117"/>
      <c r="B142" s="138"/>
      <c r="C142" s="209"/>
      <c r="D142" s="98" t="s">
        <v>174</v>
      </c>
      <c r="E142" s="98">
        <v>7</v>
      </c>
      <c r="F142" s="179"/>
      <c r="G142" s="189"/>
      <c r="H142" s="148"/>
      <c r="I142" s="151"/>
    </row>
    <row r="143" spans="1:9" ht="27" customHeight="1" x14ac:dyDescent="0.3">
      <c r="A143" s="117"/>
      <c r="B143" s="207"/>
      <c r="C143" s="210"/>
      <c r="D143" s="98" t="s">
        <v>184</v>
      </c>
      <c r="E143" s="98">
        <v>10</v>
      </c>
      <c r="F143" s="162"/>
      <c r="G143" s="190"/>
      <c r="H143" s="148"/>
      <c r="I143" s="151"/>
    </row>
    <row r="144" spans="1:9" ht="28.8" thickBot="1" x14ac:dyDescent="0.35">
      <c r="A144" s="117"/>
      <c r="B144" s="96">
        <v>8</v>
      </c>
      <c r="C144" s="34" t="s">
        <v>185</v>
      </c>
      <c r="D144" s="98" t="s">
        <v>186</v>
      </c>
      <c r="E144" s="98">
        <v>28</v>
      </c>
      <c r="F144" s="48"/>
      <c r="G144" s="32"/>
      <c r="H144" s="148"/>
      <c r="I144" s="151"/>
    </row>
    <row r="145" spans="1:9" ht="15.75" customHeight="1" thickBot="1" x14ac:dyDescent="0.35">
      <c r="A145" s="117"/>
      <c r="B145" s="120" t="s">
        <v>71</v>
      </c>
      <c r="C145" s="120"/>
      <c r="D145" s="120"/>
      <c r="E145" s="120"/>
      <c r="F145" s="120"/>
      <c r="G145" s="120"/>
      <c r="H145" s="148"/>
      <c r="I145" s="151"/>
    </row>
    <row r="146" spans="1:9" ht="56.4" x14ac:dyDescent="0.3">
      <c r="A146" s="117"/>
      <c r="B146" s="96">
        <v>9</v>
      </c>
      <c r="C146" s="34" t="s">
        <v>187</v>
      </c>
      <c r="D146" s="98" t="s">
        <v>188</v>
      </c>
      <c r="E146" s="98">
        <v>6</v>
      </c>
      <c r="F146" s="48"/>
      <c r="G146" s="32"/>
      <c r="H146" s="148"/>
      <c r="I146" s="151"/>
    </row>
    <row r="147" spans="1:9" ht="152.4" thickBot="1" x14ac:dyDescent="0.35">
      <c r="A147" s="118"/>
      <c r="B147" s="96">
        <v>10</v>
      </c>
      <c r="C147" s="114" t="s">
        <v>189</v>
      </c>
      <c r="D147" s="98" t="s">
        <v>190</v>
      </c>
      <c r="E147" s="98">
        <v>30</v>
      </c>
      <c r="F147" s="48"/>
      <c r="G147" s="32"/>
      <c r="H147" s="149"/>
      <c r="I147" s="152"/>
    </row>
    <row r="148" spans="1:9" s="54" customFormat="1" ht="15" customHeight="1" x14ac:dyDescent="0.3"/>
    <row r="149" spans="1:9" s="54" customFormat="1" ht="16.5" customHeight="1" x14ac:dyDescent="0.3">
      <c r="A149" s="143" t="s">
        <v>191</v>
      </c>
      <c r="B149" s="143"/>
      <c r="C149" s="143"/>
      <c r="D149" s="143"/>
      <c r="E149" s="143"/>
      <c r="F149" s="144"/>
      <c r="G149" s="19">
        <f>SUM(G129:G135,G137:G144,G146:G147)</f>
        <v>0</v>
      </c>
    </row>
    <row r="150" spans="1:9" s="54" customFormat="1" x14ac:dyDescent="0.3"/>
    <row r="151" spans="1:9" ht="16.2" thickBot="1" x14ac:dyDescent="0.35">
      <c r="A151" s="145" t="s">
        <v>192</v>
      </c>
      <c r="B151" s="145"/>
      <c r="C151" s="145"/>
      <c r="D151" s="145"/>
      <c r="E151" s="145"/>
      <c r="F151" s="145"/>
      <c r="G151" s="146"/>
      <c r="H151" s="142" t="s">
        <v>31</v>
      </c>
      <c r="I151" s="142"/>
    </row>
    <row r="152" spans="1:9" ht="15.75" customHeight="1" thickBot="1" x14ac:dyDescent="0.35">
      <c r="A152" s="116" t="s">
        <v>44</v>
      </c>
      <c r="B152" s="18" t="s">
        <v>33</v>
      </c>
      <c r="C152" s="16" t="s">
        <v>34</v>
      </c>
      <c r="D152" s="17" t="s">
        <v>93</v>
      </c>
      <c r="E152" s="17" t="s">
        <v>36</v>
      </c>
      <c r="F152" s="17" t="s">
        <v>37</v>
      </c>
      <c r="G152" s="17" t="s">
        <v>38</v>
      </c>
      <c r="H152" s="18" t="s">
        <v>39</v>
      </c>
      <c r="I152" s="18" t="s">
        <v>40</v>
      </c>
    </row>
    <row r="153" spans="1:9" ht="15" thickBot="1" x14ac:dyDescent="0.35">
      <c r="A153" s="117"/>
      <c r="B153" s="120" t="s">
        <v>106</v>
      </c>
      <c r="C153" s="120"/>
      <c r="D153" s="120"/>
      <c r="E153" s="120"/>
      <c r="F153" s="120"/>
      <c r="G153" s="120"/>
      <c r="H153" s="125"/>
      <c r="I153" s="126"/>
    </row>
    <row r="154" spans="1:9" ht="55.8" x14ac:dyDescent="0.3">
      <c r="A154" s="117"/>
      <c r="B154" s="107">
        <v>1</v>
      </c>
      <c r="C154" s="99" t="s">
        <v>193</v>
      </c>
      <c r="D154" s="100" t="s">
        <v>194</v>
      </c>
      <c r="E154" s="100">
        <v>6</v>
      </c>
      <c r="F154" s="49"/>
      <c r="G154" s="33"/>
      <c r="H154" s="147"/>
      <c r="I154" s="150"/>
    </row>
    <row r="155" spans="1:9" ht="33.75" customHeight="1" x14ac:dyDescent="0.3">
      <c r="A155" s="117"/>
      <c r="B155" s="101">
        <v>2</v>
      </c>
      <c r="C155" s="103" t="s">
        <v>195</v>
      </c>
      <c r="D155" s="102" t="s">
        <v>196</v>
      </c>
      <c r="E155" s="102">
        <v>24</v>
      </c>
      <c r="F155" s="48"/>
      <c r="G155" s="32"/>
      <c r="H155" s="148"/>
      <c r="I155" s="151"/>
    </row>
    <row r="156" spans="1:9" ht="27.6" x14ac:dyDescent="0.3">
      <c r="A156" s="117"/>
      <c r="B156" s="101">
        <v>3</v>
      </c>
      <c r="C156" s="103" t="s">
        <v>197</v>
      </c>
      <c r="D156" s="102" t="s">
        <v>198</v>
      </c>
      <c r="E156" s="102">
        <v>12</v>
      </c>
      <c r="F156" s="48"/>
      <c r="G156" s="32"/>
      <c r="H156" s="148"/>
      <c r="I156" s="151"/>
    </row>
    <row r="157" spans="1:9" ht="60" customHeight="1" x14ac:dyDescent="0.3">
      <c r="A157" s="117"/>
      <c r="B157" s="101">
        <v>4</v>
      </c>
      <c r="C157" s="103" t="s">
        <v>199</v>
      </c>
      <c r="D157" s="102" t="s">
        <v>200</v>
      </c>
      <c r="E157" s="102">
        <v>6</v>
      </c>
      <c r="F157" s="48"/>
      <c r="G157" s="32"/>
      <c r="H157" s="148"/>
      <c r="I157" s="151"/>
    </row>
    <row r="158" spans="1:9" ht="75.75" customHeight="1" x14ac:dyDescent="0.3">
      <c r="A158" s="117"/>
      <c r="B158" s="101">
        <v>5</v>
      </c>
      <c r="C158" s="103" t="s">
        <v>201</v>
      </c>
      <c r="D158" s="102" t="s">
        <v>202</v>
      </c>
      <c r="E158" s="102">
        <v>8</v>
      </c>
      <c r="F158" s="48">
        <v>8</v>
      </c>
      <c r="G158" s="32"/>
      <c r="H158" s="148"/>
      <c r="I158" s="151"/>
    </row>
    <row r="159" spans="1:9" ht="70.2" thickBot="1" x14ac:dyDescent="0.35">
      <c r="A159" s="118"/>
      <c r="B159" s="96">
        <v>6</v>
      </c>
      <c r="C159" s="34" t="s">
        <v>203</v>
      </c>
      <c r="D159" s="98" t="s">
        <v>200</v>
      </c>
      <c r="E159" s="98">
        <v>6</v>
      </c>
      <c r="F159" s="48"/>
      <c r="G159" s="32"/>
      <c r="H159" s="149"/>
      <c r="I159" s="152"/>
    </row>
    <row r="160" spans="1:9" s="54" customFormat="1" x14ac:dyDescent="0.3"/>
    <row r="161" spans="1:9" s="54" customFormat="1" ht="15.6" x14ac:dyDescent="0.3">
      <c r="A161" s="143" t="s">
        <v>204</v>
      </c>
      <c r="B161" s="143"/>
      <c r="C161" s="143"/>
      <c r="D161" s="143"/>
      <c r="E161" s="143"/>
      <c r="F161" s="144"/>
      <c r="G161" s="19">
        <f>SUM(G154:G159)</f>
        <v>0</v>
      </c>
    </row>
    <row r="162" spans="1:9" s="54" customFormat="1" x14ac:dyDescent="0.3"/>
    <row r="163" spans="1:9" ht="16.2" thickBot="1" x14ac:dyDescent="0.35">
      <c r="A163" s="187" t="s">
        <v>205</v>
      </c>
      <c r="B163" s="187"/>
      <c r="C163" s="187"/>
      <c r="D163" s="187"/>
      <c r="E163" s="187"/>
      <c r="F163" s="187"/>
      <c r="G163" s="206"/>
      <c r="H163" s="142" t="s">
        <v>31</v>
      </c>
      <c r="I163" s="142"/>
    </row>
    <row r="164" spans="1:9" ht="15.75" customHeight="1" thickBot="1" x14ac:dyDescent="0.35">
      <c r="A164" s="116" t="s">
        <v>45</v>
      </c>
      <c r="B164" s="36" t="s">
        <v>33</v>
      </c>
      <c r="C164" s="21" t="s">
        <v>34</v>
      </c>
      <c r="D164" s="22" t="s">
        <v>93</v>
      </c>
      <c r="E164" s="22" t="s">
        <v>36</v>
      </c>
      <c r="F164" s="22" t="s">
        <v>37</v>
      </c>
      <c r="G164" s="22" t="s">
        <v>38</v>
      </c>
      <c r="H164" s="18" t="s">
        <v>39</v>
      </c>
      <c r="I164" s="18" t="s">
        <v>40</v>
      </c>
    </row>
    <row r="165" spans="1:9" ht="15" thickBot="1" x14ac:dyDescent="0.35">
      <c r="A165" s="117"/>
      <c r="B165" s="120" t="s">
        <v>106</v>
      </c>
      <c r="C165" s="120"/>
      <c r="D165" s="120"/>
      <c r="E165" s="120"/>
      <c r="F165" s="120"/>
      <c r="G165" s="120"/>
      <c r="H165" s="125"/>
      <c r="I165" s="126"/>
    </row>
    <row r="166" spans="1:9" ht="97.8" x14ac:dyDescent="0.3">
      <c r="A166" s="117"/>
      <c r="B166" s="110">
        <v>1</v>
      </c>
      <c r="C166" s="113" t="s">
        <v>206</v>
      </c>
      <c r="D166" s="104" t="s">
        <v>207</v>
      </c>
      <c r="E166" s="104">
        <v>10</v>
      </c>
      <c r="F166" s="49">
        <v>10</v>
      </c>
      <c r="G166" s="33"/>
      <c r="H166" s="147" t="s">
        <v>208</v>
      </c>
      <c r="I166" s="150"/>
    </row>
    <row r="167" spans="1:9" ht="98.4" thickBot="1" x14ac:dyDescent="0.35">
      <c r="A167" s="118"/>
      <c r="B167" s="96">
        <v>2</v>
      </c>
      <c r="C167" s="34" t="s">
        <v>209</v>
      </c>
      <c r="D167" s="98" t="s">
        <v>210</v>
      </c>
      <c r="E167" s="98">
        <v>8</v>
      </c>
      <c r="F167" s="48"/>
      <c r="G167" s="73"/>
      <c r="H167" s="149"/>
      <c r="I167" s="152"/>
    </row>
    <row r="168" spans="1:9" x14ac:dyDescent="0.3">
      <c r="A168" s="53"/>
      <c r="F168" s="53"/>
      <c r="G168" s="53"/>
    </row>
    <row r="169" spans="1:9" ht="15.6" x14ac:dyDescent="0.3">
      <c r="A169" s="143" t="s">
        <v>211</v>
      </c>
      <c r="B169" s="143"/>
      <c r="C169" s="143"/>
      <c r="D169" s="143"/>
      <c r="E169" s="143"/>
      <c r="F169" s="144"/>
      <c r="G169" s="19">
        <f>SUM(G166:G167)</f>
        <v>0</v>
      </c>
    </row>
    <row r="170" spans="1:9" x14ac:dyDescent="0.3">
      <c r="A170" s="53"/>
      <c r="F170" s="53"/>
      <c r="G170" s="53"/>
    </row>
    <row r="171" spans="1:9" ht="16.2" thickBot="1" x14ac:dyDescent="0.35">
      <c r="A171" s="187" t="s">
        <v>212</v>
      </c>
      <c r="B171" s="187"/>
      <c r="C171" s="187"/>
      <c r="D171" s="187"/>
      <c r="E171" s="187"/>
      <c r="F171" s="63"/>
      <c r="G171" s="63"/>
      <c r="H171" s="63"/>
    </row>
    <row r="172" spans="1:9" ht="58.2" thickBot="1" x14ac:dyDescent="0.35">
      <c r="A172" s="116" t="s">
        <v>46</v>
      </c>
      <c r="B172" s="36" t="s">
        <v>33</v>
      </c>
      <c r="C172" s="21" t="s">
        <v>34</v>
      </c>
      <c r="D172" s="22" t="s">
        <v>93</v>
      </c>
      <c r="E172" s="23" t="s">
        <v>213</v>
      </c>
      <c r="F172" s="53"/>
      <c r="G172" s="53"/>
    </row>
    <row r="173" spans="1:9" x14ac:dyDescent="0.3">
      <c r="A173" s="117"/>
      <c r="B173" s="101">
        <v>1</v>
      </c>
      <c r="C173" s="50" t="s">
        <v>214</v>
      </c>
      <c r="D173" s="51"/>
      <c r="E173" s="111"/>
      <c r="F173" s="53"/>
      <c r="G173" s="53"/>
    </row>
    <row r="174" spans="1:9" x14ac:dyDescent="0.3">
      <c r="A174" s="117"/>
      <c r="B174" s="101">
        <v>2</v>
      </c>
      <c r="C174" s="88" t="s">
        <v>215</v>
      </c>
      <c r="D174" s="51"/>
      <c r="E174" s="111"/>
      <c r="F174" s="53"/>
      <c r="G174" s="53"/>
    </row>
    <row r="175" spans="1:9" x14ac:dyDescent="0.3">
      <c r="A175" s="117"/>
      <c r="B175" s="101">
        <v>3</v>
      </c>
      <c r="C175" s="88" t="s">
        <v>216</v>
      </c>
      <c r="D175" s="51"/>
      <c r="E175" s="111"/>
      <c r="F175" s="53"/>
      <c r="G175" s="53"/>
    </row>
    <row r="176" spans="1:9" x14ac:dyDescent="0.3">
      <c r="A176" s="117"/>
      <c r="B176" s="101">
        <v>4</v>
      </c>
      <c r="C176" s="88" t="s">
        <v>217</v>
      </c>
      <c r="D176" s="52"/>
      <c r="E176" s="112"/>
      <c r="F176" s="53"/>
      <c r="G176" s="53"/>
    </row>
    <row r="177" spans="1:9" ht="15" thickBot="1" x14ac:dyDescent="0.35">
      <c r="A177" s="118"/>
      <c r="B177" s="101">
        <v>5</v>
      </c>
      <c r="C177" s="88" t="s">
        <v>218</v>
      </c>
      <c r="D177" s="52"/>
      <c r="E177" s="112"/>
      <c r="F177" s="53"/>
      <c r="G177" s="53"/>
    </row>
    <row r="178" spans="1:9" s="54" customFormat="1" x14ac:dyDescent="0.3"/>
    <row r="179" spans="1:9" s="54" customFormat="1" ht="15.6" x14ac:dyDescent="0.3">
      <c r="A179" s="143" t="s">
        <v>219</v>
      </c>
      <c r="B179" s="143"/>
      <c r="C179" s="143"/>
      <c r="D179" s="143"/>
      <c r="E179" s="143"/>
      <c r="F179" s="144"/>
      <c r="G179" s="19">
        <f>SUM(E173:E177)</f>
        <v>0</v>
      </c>
    </row>
    <row r="180" spans="1:9" s="54" customFormat="1" x14ac:dyDescent="0.3"/>
    <row r="181" spans="1:9" s="54" customFormat="1" x14ac:dyDescent="0.3">
      <c r="F181" s="64"/>
      <c r="G181" s="64"/>
    </row>
    <row r="182" spans="1:9" s="54" customFormat="1" ht="15.6" x14ac:dyDescent="0.3">
      <c r="A182" s="145" t="s">
        <v>220</v>
      </c>
      <c r="B182" s="145"/>
      <c r="C182" s="145"/>
      <c r="D182" s="145"/>
      <c r="E182" s="145"/>
      <c r="F182" s="145"/>
      <c r="G182" s="145"/>
      <c r="H182" s="145"/>
      <c r="I182" s="145"/>
    </row>
    <row r="183" spans="1:9" s="54" customFormat="1" ht="15" thickBot="1" x14ac:dyDescent="0.35">
      <c r="E183" s="115"/>
      <c r="F183" s="64"/>
      <c r="G183" s="64"/>
    </row>
    <row r="184" spans="1:9" s="54" customFormat="1" ht="15.6" x14ac:dyDescent="0.3">
      <c r="C184" s="24" t="s">
        <v>4</v>
      </c>
      <c r="D184" s="27" t="e">
        <f>VLOOKUP($H$5,$AL$12:$AZ$15,3,0)</f>
        <v>#N/A</v>
      </c>
      <c r="F184" s="64"/>
      <c r="G184" s="64"/>
    </row>
    <row r="185" spans="1:9" s="54" customFormat="1" ht="15.6" x14ac:dyDescent="0.3">
      <c r="C185" s="24" t="s">
        <v>5</v>
      </c>
      <c r="D185" s="28" t="e">
        <f>VLOOKUP($H$5,$AL$12:$AZ$15,5,0)</f>
        <v>#N/A</v>
      </c>
      <c r="F185" s="64"/>
      <c r="G185" s="64"/>
    </row>
    <row r="186" spans="1:9" s="54" customFormat="1" ht="15.6" x14ac:dyDescent="0.3">
      <c r="C186" s="24" t="s">
        <v>6</v>
      </c>
      <c r="D186" s="28" t="e">
        <f>VLOOKUP($H$5,$AL$12:$AZ$15,7,0)</f>
        <v>#N/A</v>
      </c>
      <c r="F186" s="64"/>
      <c r="G186" s="64"/>
    </row>
    <row r="187" spans="1:9" s="54" customFormat="1" ht="15.6" x14ac:dyDescent="0.3">
      <c r="C187" s="25" t="s">
        <v>7</v>
      </c>
      <c r="D187" s="28" t="e">
        <f>VLOOKUP($H$5,$AL$12:$AZ$15,9,0)</f>
        <v>#N/A</v>
      </c>
      <c r="F187" s="64"/>
      <c r="G187" s="64"/>
    </row>
    <row r="188" spans="1:9" s="54" customFormat="1" ht="15.6" x14ac:dyDescent="0.3">
      <c r="C188" s="24" t="s">
        <v>8</v>
      </c>
      <c r="D188" s="28" t="e">
        <f>VLOOKUP($H$5,$AL$12:$AZ$15,11,0)</f>
        <v>#N/A</v>
      </c>
      <c r="F188" s="64"/>
      <c r="G188" s="64"/>
    </row>
    <row r="189" spans="1:9" s="54" customFormat="1" ht="15.6" x14ac:dyDescent="0.3">
      <c r="C189" s="24" t="s">
        <v>9</v>
      </c>
      <c r="D189" s="28" t="e">
        <f>VLOOKUP($H$5,$AL$12:$AZ$15,13,0)</f>
        <v>#N/A</v>
      </c>
      <c r="F189" s="64"/>
      <c r="G189" s="64"/>
    </row>
    <row r="190" spans="1:9" s="54" customFormat="1" ht="18" x14ac:dyDescent="0.3">
      <c r="C190" s="26" t="s">
        <v>221</v>
      </c>
      <c r="D190" s="75" t="e">
        <f>SUM(D184:D189)</f>
        <v>#N/A</v>
      </c>
      <c r="F190" s="64"/>
      <c r="G190" s="64"/>
    </row>
    <row r="191" spans="1:9" s="54" customFormat="1" ht="31.2" x14ac:dyDescent="0.3">
      <c r="C191" s="24" t="s">
        <v>222</v>
      </c>
      <c r="D191" s="28" t="e">
        <f>VLOOKUP($H$5,$AL$12:$AZ$15,15,0)</f>
        <v>#N/A</v>
      </c>
      <c r="F191" s="64"/>
      <c r="G191" s="64"/>
    </row>
    <row r="192" spans="1:9" s="54" customFormat="1" ht="18.600000000000001" thickBot="1" x14ac:dyDescent="0.35">
      <c r="C192" s="74" t="s">
        <v>223</v>
      </c>
      <c r="D192" s="29" t="e">
        <f>SUM(D190:D191)</f>
        <v>#N/A</v>
      </c>
      <c r="F192" s="64"/>
      <c r="G192" s="64"/>
    </row>
    <row r="193" spans="1:9" x14ac:dyDescent="0.3">
      <c r="A193" s="53"/>
    </row>
    <row r="194" spans="1:9" ht="15.6" x14ac:dyDescent="0.3">
      <c r="A194" s="145" t="s">
        <v>224</v>
      </c>
      <c r="B194" s="145"/>
      <c r="C194" s="145"/>
      <c r="D194" s="145"/>
      <c r="E194" s="145"/>
      <c r="F194" s="145"/>
      <c r="G194" s="145"/>
      <c r="H194" s="145"/>
      <c r="I194" s="145"/>
    </row>
    <row r="195" spans="1:9" x14ac:dyDescent="0.3">
      <c r="A195" s="53"/>
    </row>
    <row r="196" spans="1:9" x14ac:dyDescent="0.3">
      <c r="A196" s="53"/>
    </row>
    <row r="197" spans="1:9" ht="16.2" thickBot="1" x14ac:dyDescent="0.35">
      <c r="A197" s="53"/>
      <c r="B197" s="66" t="s">
        <v>225</v>
      </c>
    </row>
    <row r="198" spans="1:9" x14ac:dyDescent="0.3">
      <c r="A198" s="53"/>
      <c r="B198" s="211" t="s">
        <v>226</v>
      </c>
      <c r="C198" s="212"/>
      <c r="D198" s="212"/>
      <c r="E198" s="212"/>
      <c r="F198" s="212"/>
      <c r="G198" s="212"/>
      <c r="H198" s="212"/>
      <c r="I198" s="213"/>
    </row>
    <row r="199" spans="1:9" x14ac:dyDescent="0.3">
      <c r="A199" s="53"/>
      <c r="B199" s="214"/>
      <c r="C199" s="215"/>
      <c r="D199" s="215"/>
      <c r="E199" s="215"/>
      <c r="F199" s="215"/>
      <c r="G199" s="215"/>
      <c r="H199" s="215"/>
      <c r="I199" s="216"/>
    </row>
    <row r="200" spans="1:9" x14ac:dyDescent="0.3">
      <c r="A200" s="53"/>
      <c r="B200" s="214"/>
      <c r="C200" s="215"/>
      <c r="D200" s="215"/>
      <c r="E200" s="215"/>
      <c r="F200" s="215"/>
      <c r="G200" s="215"/>
      <c r="H200" s="215"/>
      <c r="I200" s="216"/>
    </row>
    <row r="201" spans="1:9" ht="15" thickBot="1" x14ac:dyDescent="0.35">
      <c r="A201" s="53"/>
      <c r="B201" s="217"/>
      <c r="C201" s="218"/>
      <c r="D201" s="218"/>
      <c r="E201" s="218"/>
      <c r="F201" s="218"/>
      <c r="G201" s="218"/>
      <c r="H201" s="218"/>
      <c r="I201" s="219"/>
    </row>
    <row r="202" spans="1:9" x14ac:dyDescent="0.3">
      <c r="A202" s="53"/>
    </row>
    <row r="203" spans="1:9" ht="16.2" thickBot="1" x14ac:dyDescent="0.35">
      <c r="A203" s="53"/>
      <c r="B203" s="66" t="s">
        <v>227</v>
      </c>
    </row>
    <row r="204" spans="1:9" x14ac:dyDescent="0.3">
      <c r="A204" s="53"/>
      <c r="B204" s="166"/>
      <c r="C204" s="167"/>
      <c r="D204" s="167"/>
      <c r="E204" s="167"/>
      <c r="F204" s="167"/>
      <c r="G204" s="167"/>
      <c r="H204" s="167"/>
      <c r="I204" s="168"/>
    </row>
    <row r="205" spans="1:9" x14ac:dyDescent="0.3">
      <c r="A205" s="53"/>
      <c r="B205" s="169"/>
      <c r="C205" s="170"/>
      <c r="D205" s="170"/>
      <c r="E205" s="170"/>
      <c r="F205" s="170"/>
      <c r="G205" s="170"/>
      <c r="H205" s="170"/>
      <c r="I205" s="171"/>
    </row>
    <row r="206" spans="1:9" x14ac:dyDescent="0.3">
      <c r="A206" s="53"/>
      <c r="B206" s="169"/>
      <c r="C206" s="170"/>
      <c r="D206" s="170"/>
      <c r="E206" s="170"/>
      <c r="F206" s="170"/>
      <c r="G206" s="170"/>
      <c r="H206" s="170"/>
      <c r="I206" s="171"/>
    </row>
    <row r="207" spans="1:9" ht="15" thickBot="1" x14ac:dyDescent="0.35">
      <c r="A207" s="53"/>
      <c r="B207" s="172"/>
      <c r="C207" s="173"/>
      <c r="D207" s="173"/>
      <c r="E207" s="173"/>
      <c r="F207" s="173"/>
      <c r="G207" s="173"/>
      <c r="H207" s="173"/>
      <c r="I207" s="174"/>
    </row>
    <row r="208" spans="1:9" x14ac:dyDescent="0.3">
      <c r="A208" s="53"/>
    </row>
    <row r="209" spans="1:9" ht="16.2" thickBot="1" x14ac:dyDescent="0.35">
      <c r="A209" s="53"/>
      <c r="B209" s="66" t="s">
        <v>228</v>
      </c>
    </row>
    <row r="210" spans="1:9" x14ac:dyDescent="0.3">
      <c r="A210" s="53"/>
      <c r="B210" s="197"/>
      <c r="C210" s="198"/>
      <c r="D210" s="198"/>
      <c r="E210" s="198"/>
      <c r="F210" s="198"/>
      <c r="G210" s="198"/>
      <c r="H210" s="198"/>
      <c r="I210" s="199"/>
    </row>
    <row r="211" spans="1:9" x14ac:dyDescent="0.3">
      <c r="A211" s="53"/>
      <c r="B211" s="200"/>
      <c r="C211" s="201"/>
      <c r="D211" s="201"/>
      <c r="E211" s="201"/>
      <c r="F211" s="201"/>
      <c r="G211" s="201"/>
      <c r="H211" s="201"/>
      <c r="I211" s="202"/>
    </row>
    <row r="212" spans="1:9" x14ac:dyDescent="0.3">
      <c r="A212" s="53"/>
      <c r="B212" s="200"/>
      <c r="C212" s="201"/>
      <c r="D212" s="201"/>
      <c r="E212" s="201"/>
      <c r="F212" s="201"/>
      <c r="G212" s="201"/>
      <c r="H212" s="201"/>
      <c r="I212" s="202"/>
    </row>
    <row r="213" spans="1:9" ht="15" thickBot="1" x14ac:dyDescent="0.35">
      <c r="A213" s="53"/>
      <c r="B213" s="203"/>
      <c r="C213" s="204"/>
      <c r="D213" s="204"/>
      <c r="E213" s="204"/>
      <c r="F213" s="204"/>
      <c r="G213" s="204"/>
      <c r="H213" s="204"/>
      <c r="I213" s="205"/>
    </row>
    <row r="214" spans="1:9" x14ac:dyDescent="0.3">
      <c r="A214" s="53"/>
    </row>
    <row r="215" spans="1:9" x14ac:dyDescent="0.3">
      <c r="A215" s="53"/>
    </row>
    <row r="216" spans="1:9" x14ac:dyDescent="0.3">
      <c r="A216" s="53"/>
    </row>
    <row r="217" spans="1:9" x14ac:dyDescent="0.3">
      <c r="A217" s="53"/>
    </row>
    <row r="218" spans="1:9" x14ac:dyDescent="0.3">
      <c r="A218" s="53"/>
    </row>
    <row r="219" spans="1:9" x14ac:dyDescent="0.3">
      <c r="A219" s="53"/>
    </row>
    <row r="220" spans="1:9" x14ac:dyDescent="0.3">
      <c r="A220" s="53"/>
    </row>
    <row r="221" spans="1:9" x14ac:dyDescent="0.3">
      <c r="A221" s="53"/>
    </row>
    <row r="222" spans="1:9" x14ac:dyDescent="0.3">
      <c r="A222" s="53"/>
    </row>
    <row r="223" spans="1:9" x14ac:dyDescent="0.3">
      <c r="A223" s="53"/>
    </row>
    <row r="224" spans="1:9" x14ac:dyDescent="0.3">
      <c r="A224" s="53"/>
    </row>
    <row r="225" spans="1:1" x14ac:dyDescent="0.3">
      <c r="A225" s="53"/>
    </row>
    <row r="226" spans="1:1" x14ac:dyDescent="0.3">
      <c r="A226" s="53"/>
    </row>
    <row r="227" spans="1:1" x14ac:dyDescent="0.3">
      <c r="A227" s="53"/>
    </row>
    <row r="228" spans="1:1" x14ac:dyDescent="0.3">
      <c r="A228" s="53"/>
    </row>
    <row r="229" spans="1:1" x14ac:dyDescent="0.3">
      <c r="A229" s="53"/>
    </row>
  </sheetData>
  <sheetProtection password="C527" sheet="1"/>
  <mergeCells count="177">
    <mergeCell ref="AO11:AP11"/>
    <mergeCell ref="H63:I63"/>
    <mergeCell ref="H61:I61"/>
    <mergeCell ref="H106:I106"/>
    <mergeCell ref="H13:H57"/>
    <mergeCell ref="I13:I57"/>
    <mergeCell ref="H64:H100"/>
    <mergeCell ref="I64:I100"/>
    <mergeCell ref="AQ11:AR11"/>
    <mergeCell ref="AS11:AT11"/>
    <mergeCell ref="AU11:AV11"/>
    <mergeCell ref="AW11:AX11"/>
    <mergeCell ref="AY11:AZ11"/>
    <mergeCell ref="A61:G61"/>
    <mergeCell ref="B55:B57"/>
    <mergeCell ref="C55:C57"/>
    <mergeCell ref="F55:F57"/>
    <mergeCell ref="AM11:AN11"/>
    <mergeCell ref="A59:F59"/>
    <mergeCell ref="B28:B30"/>
    <mergeCell ref="H12:I12"/>
    <mergeCell ref="G28:G30"/>
    <mergeCell ref="B26:G26"/>
    <mergeCell ref="C13:C15"/>
    <mergeCell ref="C28:C30"/>
    <mergeCell ref="F28:F30"/>
    <mergeCell ref="F16:F18"/>
    <mergeCell ref="G16:G18"/>
    <mergeCell ref="B12:G12"/>
    <mergeCell ref="B19:G19"/>
    <mergeCell ref="F23:G25"/>
    <mergeCell ref="F20:G22"/>
    <mergeCell ref="B20:B22"/>
    <mergeCell ref="B210:I213"/>
    <mergeCell ref="A194:I194"/>
    <mergeCell ref="B153:G153"/>
    <mergeCell ref="H153:I153"/>
    <mergeCell ref="F75:F79"/>
    <mergeCell ref="G75:G79"/>
    <mergeCell ref="A151:G151"/>
    <mergeCell ref="A161:F161"/>
    <mergeCell ref="A163:G163"/>
    <mergeCell ref="H165:I165"/>
    <mergeCell ref="A179:F179"/>
    <mergeCell ref="A182:I182"/>
    <mergeCell ref="G137:G139"/>
    <mergeCell ref="B145:G145"/>
    <mergeCell ref="B141:B143"/>
    <mergeCell ref="C141:C143"/>
    <mergeCell ref="H129:H147"/>
    <mergeCell ref="I129:I147"/>
    <mergeCell ref="H154:H159"/>
    <mergeCell ref="A172:A177"/>
    <mergeCell ref="G87:G88"/>
    <mergeCell ref="B92:B94"/>
    <mergeCell ref="B198:I201"/>
    <mergeCell ref="F141:F143"/>
    <mergeCell ref="H104:I104"/>
    <mergeCell ref="B84:G84"/>
    <mergeCell ref="A102:F102"/>
    <mergeCell ref="B75:B79"/>
    <mergeCell ref="C87:C88"/>
    <mergeCell ref="B43:B47"/>
    <mergeCell ref="C43:C47"/>
    <mergeCell ref="F43:F47"/>
    <mergeCell ref="G43:G47"/>
    <mergeCell ref="A11:A57"/>
    <mergeCell ref="A62:A100"/>
    <mergeCell ref="B42:G42"/>
    <mergeCell ref="B52:G52"/>
    <mergeCell ref="B204:I207"/>
    <mergeCell ref="A149:F149"/>
    <mergeCell ref="B128:G128"/>
    <mergeCell ref="H128:I128"/>
    <mergeCell ref="C131:C133"/>
    <mergeCell ref="B131:B133"/>
    <mergeCell ref="F131:F133"/>
    <mergeCell ref="G131:G133"/>
    <mergeCell ref="B136:G136"/>
    <mergeCell ref="B137:B139"/>
    <mergeCell ref="H163:I163"/>
    <mergeCell ref="C134:C135"/>
    <mergeCell ref="B134:B135"/>
    <mergeCell ref="F134:F135"/>
    <mergeCell ref="B165:G165"/>
    <mergeCell ref="A169:F169"/>
    <mergeCell ref="A171:E171"/>
    <mergeCell ref="I154:I159"/>
    <mergeCell ref="F137:F139"/>
    <mergeCell ref="G141:G143"/>
    <mergeCell ref="H151:I151"/>
    <mergeCell ref="G134:G135"/>
    <mergeCell ref="H166:H167"/>
    <mergeCell ref="I166:I167"/>
    <mergeCell ref="B63:G63"/>
    <mergeCell ref="B67:B69"/>
    <mergeCell ref="C67:C69"/>
    <mergeCell ref="F67:F69"/>
    <mergeCell ref="G67:G69"/>
    <mergeCell ref="B64:B65"/>
    <mergeCell ref="C64:C65"/>
    <mergeCell ref="F64:F65"/>
    <mergeCell ref="G64:G65"/>
    <mergeCell ref="H126:I126"/>
    <mergeCell ref="B121:G121"/>
    <mergeCell ref="A124:F124"/>
    <mergeCell ref="A126:G126"/>
    <mergeCell ref="B111:G111"/>
    <mergeCell ref="B113:G113"/>
    <mergeCell ref="H107:H122"/>
    <mergeCell ref="I107:I122"/>
    <mergeCell ref="A8:I8"/>
    <mergeCell ref="B13:B15"/>
    <mergeCell ref="C16:C18"/>
    <mergeCell ref="F13:F15"/>
    <mergeCell ref="G13:G15"/>
    <mergeCell ref="B16:B18"/>
    <mergeCell ref="A10:G10"/>
    <mergeCell ref="H10:I10"/>
    <mergeCell ref="C31:C33"/>
    <mergeCell ref="F31:F33"/>
    <mergeCell ref="G31:G33"/>
    <mergeCell ref="B34:B36"/>
    <mergeCell ref="C34:C36"/>
    <mergeCell ref="F34:F36"/>
    <mergeCell ref="G34:G36"/>
    <mergeCell ref="B31:B33"/>
    <mergeCell ref="C20:C22"/>
    <mergeCell ref="C23:C25"/>
    <mergeCell ref="B23:B25"/>
    <mergeCell ref="B37:G37"/>
    <mergeCell ref="G55:G57"/>
    <mergeCell ref="C48:C51"/>
    <mergeCell ref="F48:F51"/>
    <mergeCell ref="G48:G51"/>
    <mergeCell ref="B53:B54"/>
    <mergeCell ref="C53:C54"/>
    <mergeCell ref="F53:F54"/>
    <mergeCell ref="B48:B51"/>
    <mergeCell ref="F38:F40"/>
    <mergeCell ref="G53:G54"/>
    <mergeCell ref="B38:B40"/>
    <mergeCell ref="C38:C40"/>
    <mergeCell ref="G38:G40"/>
    <mergeCell ref="B71:G71"/>
    <mergeCell ref="B73:G73"/>
    <mergeCell ref="C75:C79"/>
    <mergeCell ref="B96:B98"/>
    <mergeCell ref="C96:C98"/>
    <mergeCell ref="F96:F98"/>
    <mergeCell ref="G96:G98"/>
    <mergeCell ref="B85:B86"/>
    <mergeCell ref="B80:B83"/>
    <mergeCell ref="C80:C83"/>
    <mergeCell ref="F80:F83"/>
    <mergeCell ref="C92:C94"/>
    <mergeCell ref="F92:F94"/>
    <mergeCell ref="B91:G91"/>
    <mergeCell ref="F87:F88"/>
    <mergeCell ref="G80:G83"/>
    <mergeCell ref="A105:A122"/>
    <mergeCell ref="A127:A147"/>
    <mergeCell ref="A152:A159"/>
    <mergeCell ref="A164:A167"/>
    <mergeCell ref="B95:G95"/>
    <mergeCell ref="C85:C86"/>
    <mergeCell ref="F85:F86"/>
    <mergeCell ref="G85:G86"/>
    <mergeCell ref="B87:B88"/>
    <mergeCell ref="G92:G94"/>
    <mergeCell ref="B107:B109"/>
    <mergeCell ref="C107:C109"/>
    <mergeCell ref="F107:F109"/>
    <mergeCell ref="B106:G106"/>
    <mergeCell ref="G107:G109"/>
    <mergeCell ref="C137:C139"/>
    <mergeCell ref="A104:G104"/>
  </mergeCells>
  <dataValidations count="1">
    <dataValidation type="list" allowBlank="1" showInputMessage="1" showErrorMessage="1" sqref="AM9 H5" xr:uid="{5DD1F311-E223-4E36-87C2-57F39683AAC0}">
      <formula1>$AM$5:$AM$8</formula1>
    </dataValidation>
  </dataValidations>
  <pageMargins left="0.7" right="0.7" top="0.75" bottom="0.75" header="0.3" footer="0.3"/>
  <pageSetup paperSize="9" orientation="portrait"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30B1-C242-4EB3-B216-337BC382237B}">
  <dimension ref="A1:D75"/>
  <sheetViews>
    <sheetView topLeftCell="A61" zoomScaleNormal="100" workbookViewId="0">
      <selection activeCell="C4" sqref="C4"/>
    </sheetView>
  </sheetViews>
  <sheetFormatPr defaultRowHeight="14.4" x14ac:dyDescent="0.3"/>
  <cols>
    <col min="1" max="1" width="6.109375" bestFit="1" customWidth="1"/>
    <col min="2" max="2" width="48.44140625" bestFit="1" customWidth="1"/>
    <col min="3" max="3" width="84.44140625" customWidth="1"/>
    <col min="4" max="4" width="46.33203125" customWidth="1"/>
  </cols>
  <sheetData>
    <row r="1" spans="1:4" ht="15.6" x14ac:dyDescent="0.3">
      <c r="A1" s="253" t="s">
        <v>229</v>
      </c>
      <c r="B1" s="253"/>
      <c r="C1" s="253"/>
    </row>
    <row r="2" spans="1:4" ht="15.6" x14ac:dyDescent="0.3">
      <c r="A2" s="256" t="s">
        <v>30</v>
      </c>
      <c r="B2" s="256"/>
      <c r="C2" s="256"/>
    </row>
    <row r="3" spans="1:4" x14ac:dyDescent="0.3">
      <c r="A3" s="37" t="s">
        <v>230</v>
      </c>
      <c r="B3" s="37" t="s">
        <v>34</v>
      </c>
      <c r="C3" s="37" t="s">
        <v>231</v>
      </c>
    </row>
    <row r="4" spans="1:4" ht="115.2" x14ac:dyDescent="0.3">
      <c r="A4" s="38">
        <v>1</v>
      </c>
      <c r="B4" s="39" t="s">
        <v>48</v>
      </c>
      <c r="C4" s="40" t="s">
        <v>232</v>
      </c>
      <c r="D4" s="72"/>
    </row>
    <row r="5" spans="1:4" ht="115.2" x14ac:dyDescent="0.3">
      <c r="A5" s="41">
        <v>2</v>
      </c>
      <c r="B5" s="35" t="s">
        <v>233</v>
      </c>
      <c r="C5" s="42" t="s">
        <v>234</v>
      </c>
      <c r="D5" s="71"/>
    </row>
    <row r="6" spans="1:4" ht="57.6" x14ac:dyDescent="0.3">
      <c r="A6" s="41">
        <v>3</v>
      </c>
      <c r="B6" s="35" t="s">
        <v>235</v>
      </c>
      <c r="C6" s="42" t="s">
        <v>236</v>
      </c>
      <c r="D6" s="71"/>
    </row>
    <row r="7" spans="1:4" ht="116.4" x14ac:dyDescent="0.3">
      <c r="A7" s="41">
        <v>4</v>
      </c>
      <c r="B7" s="35" t="s">
        <v>237</v>
      </c>
      <c r="C7" s="42" t="s">
        <v>238</v>
      </c>
    </row>
    <row r="8" spans="1:4" ht="28.8" x14ac:dyDescent="0.3">
      <c r="A8" s="41">
        <v>5</v>
      </c>
      <c r="B8" s="34" t="s">
        <v>239</v>
      </c>
      <c r="C8" s="42" t="s">
        <v>240</v>
      </c>
    </row>
    <row r="9" spans="1:4" ht="43.2" x14ac:dyDescent="0.3">
      <c r="A9" s="41" t="s">
        <v>241</v>
      </c>
      <c r="B9" s="43" t="s">
        <v>242</v>
      </c>
      <c r="C9" s="42" t="s">
        <v>243</v>
      </c>
    </row>
    <row r="10" spans="1:4" x14ac:dyDescent="0.3">
      <c r="A10" s="41">
        <v>9</v>
      </c>
      <c r="B10" s="34" t="s">
        <v>244</v>
      </c>
      <c r="C10" s="42" t="s">
        <v>245</v>
      </c>
    </row>
    <row r="11" spans="1:4" ht="15" customHeight="1" x14ac:dyDescent="0.3">
      <c r="A11" s="41">
        <v>10</v>
      </c>
      <c r="B11" s="42" t="s">
        <v>246</v>
      </c>
      <c r="C11" s="42" t="s">
        <v>247</v>
      </c>
    </row>
    <row r="12" spans="1:4" x14ac:dyDescent="0.3">
      <c r="A12" s="41">
        <v>11</v>
      </c>
      <c r="B12" s="34" t="s">
        <v>248</v>
      </c>
      <c r="C12" s="42" t="s">
        <v>249</v>
      </c>
    </row>
    <row r="13" spans="1:4" x14ac:dyDescent="0.3">
      <c r="A13" s="41">
        <v>12</v>
      </c>
      <c r="B13" s="43" t="s">
        <v>250</v>
      </c>
      <c r="C13" s="42" t="s">
        <v>251</v>
      </c>
    </row>
    <row r="14" spans="1:4" x14ac:dyDescent="0.3">
      <c r="A14" s="41">
        <v>13</v>
      </c>
      <c r="B14" s="43" t="s">
        <v>252</v>
      </c>
      <c r="C14" s="42" t="s">
        <v>253</v>
      </c>
    </row>
    <row r="15" spans="1:4" ht="28.8" x14ac:dyDescent="0.3">
      <c r="A15" s="41">
        <v>14</v>
      </c>
      <c r="B15" s="42" t="s">
        <v>254</v>
      </c>
      <c r="C15" s="42" t="s">
        <v>255</v>
      </c>
    </row>
    <row r="16" spans="1:4" ht="15.6" x14ac:dyDescent="0.3">
      <c r="A16" s="254" t="s">
        <v>92</v>
      </c>
      <c r="B16" s="254"/>
      <c r="C16" s="255"/>
    </row>
    <row r="17" spans="1:3" x14ac:dyDescent="0.3">
      <c r="A17" s="41">
        <v>1</v>
      </c>
      <c r="B17" s="43" t="s">
        <v>256</v>
      </c>
      <c r="C17" s="42" t="s">
        <v>257</v>
      </c>
    </row>
    <row r="18" spans="1:3" x14ac:dyDescent="0.3">
      <c r="A18" s="41">
        <v>2</v>
      </c>
      <c r="B18" s="43" t="s">
        <v>258</v>
      </c>
      <c r="C18" s="42" t="s">
        <v>259</v>
      </c>
    </row>
    <row r="19" spans="1:3" x14ac:dyDescent="0.3">
      <c r="A19" s="41">
        <v>3</v>
      </c>
      <c r="B19" s="43" t="s">
        <v>260</v>
      </c>
      <c r="C19" s="42" t="s">
        <v>261</v>
      </c>
    </row>
    <row r="20" spans="1:3" x14ac:dyDescent="0.3">
      <c r="A20" s="41">
        <v>4</v>
      </c>
      <c r="B20" s="42" t="s">
        <v>104</v>
      </c>
      <c r="C20" s="42" t="s">
        <v>262</v>
      </c>
    </row>
    <row r="21" spans="1:3" x14ac:dyDescent="0.3">
      <c r="A21" s="41">
        <v>5</v>
      </c>
      <c r="B21" s="43" t="s">
        <v>263</v>
      </c>
      <c r="C21" s="42" t="s">
        <v>264</v>
      </c>
    </row>
    <row r="22" spans="1:3" ht="28.8" x14ac:dyDescent="0.3">
      <c r="A22" s="41">
        <v>6</v>
      </c>
      <c r="B22" s="42" t="s">
        <v>265</v>
      </c>
      <c r="C22" s="42" t="s">
        <v>266</v>
      </c>
    </row>
    <row r="23" spans="1:3" ht="28.8" x14ac:dyDescent="0.3">
      <c r="A23" s="41">
        <v>7</v>
      </c>
      <c r="B23" s="43" t="s">
        <v>267</v>
      </c>
      <c r="C23" s="42" t="s">
        <v>268</v>
      </c>
    </row>
    <row r="24" spans="1:3" x14ac:dyDescent="0.3">
      <c r="A24" s="41">
        <v>8</v>
      </c>
      <c r="B24" s="42" t="s">
        <v>118</v>
      </c>
      <c r="C24" s="42" t="s">
        <v>269</v>
      </c>
    </row>
    <row r="25" spans="1:3" x14ac:dyDescent="0.3">
      <c r="A25" s="41">
        <v>9</v>
      </c>
      <c r="B25" s="43" t="s">
        <v>123</v>
      </c>
      <c r="C25" s="42" t="s">
        <v>270</v>
      </c>
    </row>
    <row r="26" spans="1:3" x14ac:dyDescent="0.3">
      <c r="A26" s="41">
        <v>10</v>
      </c>
      <c r="B26" s="43" t="s">
        <v>125</v>
      </c>
      <c r="C26" s="42" t="s">
        <v>271</v>
      </c>
    </row>
    <row r="27" spans="1:3" ht="28.8" x14ac:dyDescent="0.3">
      <c r="A27" s="41">
        <v>11</v>
      </c>
      <c r="B27" s="42" t="s">
        <v>272</v>
      </c>
      <c r="C27" s="42" t="s">
        <v>273</v>
      </c>
    </row>
    <row r="28" spans="1:3" ht="28.8" x14ac:dyDescent="0.3">
      <c r="A28" s="41">
        <v>12</v>
      </c>
      <c r="B28" s="42" t="s">
        <v>274</v>
      </c>
      <c r="C28" s="42" t="s">
        <v>275</v>
      </c>
    </row>
    <row r="29" spans="1:3" x14ac:dyDescent="0.3">
      <c r="A29" s="41">
        <v>13</v>
      </c>
      <c r="B29" s="43" t="s">
        <v>276</v>
      </c>
      <c r="C29" s="42" t="s">
        <v>277</v>
      </c>
    </row>
    <row r="30" spans="1:3" ht="28.8" x14ac:dyDescent="0.3">
      <c r="A30" s="41">
        <v>14</v>
      </c>
      <c r="B30" s="43" t="s">
        <v>278</v>
      </c>
      <c r="C30" s="42" t="s">
        <v>279</v>
      </c>
    </row>
    <row r="31" spans="1:3" x14ac:dyDescent="0.3">
      <c r="A31" s="41">
        <v>15</v>
      </c>
      <c r="B31" s="43" t="s">
        <v>137</v>
      </c>
      <c r="C31" s="42" t="s">
        <v>280</v>
      </c>
    </row>
    <row r="32" spans="1:3" x14ac:dyDescent="0.3">
      <c r="A32" s="41">
        <v>16</v>
      </c>
      <c r="B32" s="43" t="s">
        <v>139</v>
      </c>
      <c r="C32" s="42" t="s">
        <v>281</v>
      </c>
    </row>
    <row r="33" spans="1:3" ht="15.6" x14ac:dyDescent="0.3">
      <c r="A33" s="254" t="s">
        <v>141</v>
      </c>
      <c r="B33" s="254"/>
      <c r="C33" s="255"/>
    </row>
    <row r="34" spans="1:3" x14ac:dyDescent="0.3">
      <c r="A34" s="41">
        <v>1</v>
      </c>
      <c r="B34" s="42" t="s">
        <v>282</v>
      </c>
      <c r="C34" s="42" t="s">
        <v>283</v>
      </c>
    </row>
    <row r="35" spans="1:3" x14ac:dyDescent="0.3">
      <c r="A35" s="41">
        <v>2</v>
      </c>
      <c r="B35" s="43" t="s">
        <v>284</v>
      </c>
      <c r="C35" s="42" t="s">
        <v>285</v>
      </c>
    </row>
    <row r="36" spans="1:3" ht="43.2" x14ac:dyDescent="0.3">
      <c r="A36" s="41">
        <v>3</v>
      </c>
      <c r="B36" s="42" t="s">
        <v>286</v>
      </c>
      <c r="C36" s="42" t="s">
        <v>287</v>
      </c>
    </row>
    <row r="37" spans="1:3" ht="28.8" x14ac:dyDescent="0.3">
      <c r="A37" s="41">
        <v>4</v>
      </c>
      <c r="B37" s="42" t="s">
        <v>288</v>
      </c>
      <c r="C37" s="42" t="s">
        <v>289</v>
      </c>
    </row>
    <row r="38" spans="1:3" ht="28.8" x14ac:dyDescent="0.3">
      <c r="A38" s="41">
        <v>5</v>
      </c>
      <c r="B38" s="42" t="s">
        <v>290</v>
      </c>
      <c r="C38" s="42" t="s">
        <v>291</v>
      </c>
    </row>
    <row r="39" spans="1:3" x14ac:dyDescent="0.3">
      <c r="A39" s="41">
        <v>6</v>
      </c>
      <c r="B39" s="42" t="s">
        <v>292</v>
      </c>
      <c r="C39" s="42" t="s">
        <v>293</v>
      </c>
    </row>
    <row r="40" spans="1:3" ht="28.8" x14ac:dyDescent="0.3">
      <c r="A40" s="41">
        <v>7</v>
      </c>
      <c r="B40" s="42" t="s">
        <v>294</v>
      </c>
      <c r="C40" s="42" t="s">
        <v>293</v>
      </c>
    </row>
    <row r="41" spans="1:3" ht="28.8" x14ac:dyDescent="0.3">
      <c r="A41" s="41" t="s">
        <v>295</v>
      </c>
      <c r="B41" s="42" t="s">
        <v>296</v>
      </c>
      <c r="C41" s="42" t="s">
        <v>297</v>
      </c>
    </row>
    <row r="42" spans="1:3" ht="28.8" x14ac:dyDescent="0.3">
      <c r="A42" s="41">
        <v>11</v>
      </c>
      <c r="B42" s="43" t="s">
        <v>298</v>
      </c>
      <c r="C42" s="42" t="s">
        <v>299</v>
      </c>
    </row>
    <row r="43" spans="1:3" ht="15.6" x14ac:dyDescent="0.3">
      <c r="A43" s="254" t="s">
        <v>166</v>
      </c>
      <c r="B43" s="254"/>
      <c r="C43" s="255"/>
    </row>
    <row r="44" spans="1:3" ht="28.8" x14ac:dyDescent="0.3">
      <c r="A44" s="41">
        <v>1</v>
      </c>
      <c r="B44" s="42" t="s">
        <v>300</v>
      </c>
      <c r="C44" s="42" t="s">
        <v>301</v>
      </c>
    </row>
    <row r="45" spans="1:3" ht="43.2" x14ac:dyDescent="0.3">
      <c r="A45" s="41">
        <v>2</v>
      </c>
      <c r="B45" s="42" t="s">
        <v>302</v>
      </c>
      <c r="C45" s="42" t="s">
        <v>303</v>
      </c>
    </row>
    <row r="46" spans="1:3" x14ac:dyDescent="0.3">
      <c r="A46" s="41">
        <v>3</v>
      </c>
      <c r="B46" s="42" t="s">
        <v>304</v>
      </c>
      <c r="C46" s="42" t="s">
        <v>305</v>
      </c>
    </row>
    <row r="47" spans="1:3" ht="28.8" x14ac:dyDescent="0.3">
      <c r="A47" s="41">
        <v>4</v>
      </c>
      <c r="B47" s="42" t="s">
        <v>306</v>
      </c>
      <c r="C47" s="42" t="s">
        <v>307</v>
      </c>
    </row>
    <row r="48" spans="1:3" x14ac:dyDescent="0.3">
      <c r="A48" s="41">
        <v>5</v>
      </c>
      <c r="B48" s="42" t="s">
        <v>308</v>
      </c>
      <c r="C48" s="42" t="s">
        <v>309</v>
      </c>
    </row>
    <row r="49" spans="1:3" ht="28.8" x14ac:dyDescent="0.3">
      <c r="A49" s="41">
        <v>6</v>
      </c>
      <c r="B49" s="42" t="s">
        <v>310</v>
      </c>
      <c r="C49" s="43" t="s">
        <v>311</v>
      </c>
    </row>
    <row r="50" spans="1:3" x14ac:dyDescent="0.3">
      <c r="A50" s="41">
        <v>7</v>
      </c>
      <c r="B50" s="42" t="s">
        <v>312</v>
      </c>
      <c r="C50" s="43" t="s">
        <v>313</v>
      </c>
    </row>
    <row r="51" spans="1:3" x14ac:dyDescent="0.3">
      <c r="A51" s="41">
        <v>8</v>
      </c>
      <c r="B51" s="43" t="s">
        <v>314</v>
      </c>
      <c r="C51" s="43" t="s">
        <v>315</v>
      </c>
    </row>
    <row r="52" spans="1:3" x14ac:dyDescent="0.3">
      <c r="A52" s="41">
        <v>9</v>
      </c>
      <c r="B52" s="43" t="s">
        <v>316</v>
      </c>
      <c r="C52" s="43" t="s">
        <v>317</v>
      </c>
    </row>
    <row r="53" spans="1:3" x14ac:dyDescent="0.3">
      <c r="A53" s="41">
        <v>10</v>
      </c>
      <c r="B53" s="42" t="s">
        <v>318</v>
      </c>
      <c r="C53" s="43" t="s">
        <v>319</v>
      </c>
    </row>
    <row r="54" spans="1:3" ht="15.6" x14ac:dyDescent="0.3">
      <c r="A54" s="254" t="s">
        <v>192</v>
      </c>
      <c r="B54" s="254"/>
      <c r="C54" s="255"/>
    </row>
    <row r="55" spans="1:3" ht="28.8" x14ac:dyDescent="0.3">
      <c r="A55" s="41">
        <v>1</v>
      </c>
      <c r="B55" s="43" t="s">
        <v>320</v>
      </c>
      <c r="C55" s="42" t="s">
        <v>321</v>
      </c>
    </row>
    <row r="56" spans="1:3" ht="72" x14ac:dyDescent="0.3">
      <c r="A56" s="41">
        <v>2</v>
      </c>
      <c r="B56" s="43" t="s">
        <v>322</v>
      </c>
      <c r="C56" s="42" t="s">
        <v>323</v>
      </c>
    </row>
    <row r="57" spans="1:3" ht="28.8" x14ac:dyDescent="0.3">
      <c r="A57" s="41">
        <v>3</v>
      </c>
      <c r="B57" s="43" t="s">
        <v>324</v>
      </c>
      <c r="C57" s="42" t="s">
        <v>325</v>
      </c>
    </row>
    <row r="58" spans="1:3" x14ac:dyDescent="0.3">
      <c r="A58" s="41">
        <v>4</v>
      </c>
      <c r="B58" s="43" t="s">
        <v>326</v>
      </c>
      <c r="C58" s="42" t="s">
        <v>327</v>
      </c>
    </row>
    <row r="59" spans="1:3" ht="28.8" x14ac:dyDescent="0.3">
      <c r="A59" s="41">
        <v>5</v>
      </c>
      <c r="B59" s="43" t="s">
        <v>328</v>
      </c>
      <c r="C59" s="42" t="s">
        <v>329</v>
      </c>
    </row>
    <row r="60" spans="1:3" ht="43.2" x14ac:dyDescent="0.3">
      <c r="A60" s="41">
        <v>6</v>
      </c>
      <c r="B60" s="43" t="s">
        <v>330</v>
      </c>
      <c r="C60" s="42" t="s">
        <v>331</v>
      </c>
    </row>
    <row r="61" spans="1:3" ht="15.6" x14ac:dyDescent="0.3">
      <c r="A61" s="254" t="s">
        <v>205</v>
      </c>
      <c r="B61" s="254"/>
      <c r="C61" s="255"/>
    </row>
    <row r="62" spans="1:3" ht="28.8" x14ac:dyDescent="0.3">
      <c r="A62" s="41">
        <v>1</v>
      </c>
      <c r="B62" s="42" t="s">
        <v>332</v>
      </c>
      <c r="C62" s="42" t="s">
        <v>333</v>
      </c>
    </row>
    <row r="63" spans="1:3" ht="28.8" x14ac:dyDescent="0.3">
      <c r="A63" s="41">
        <v>2</v>
      </c>
      <c r="B63" s="43" t="s">
        <v>334</v>
      </c>
      <c r="C63" s="42" t="s">
        <v>335</v>
      </c>
    </row>
    <row r="67" spans="1:3" ht="15.6" x14ac:dyDescent="0.3">
      <c r="A67" s="253" t="s">
        <v>336</v>
      </c>
      <c r="B67" s="253"/>
      <c r="C67" s="253"/>
    </row>
    <row r="68" spans="1:3" ht="15" thickBot="1" x14ac:dyDescent="0.35">
      <c r="A68" s="76" t="s">
        <v>337</v>
      </c>
      <c r="B68" s="76" t="s">
        <v>338</v>
      </c>
      <c r="C68" s="76" t="s">
        <v>339</v>
      </c>
    </row>
    <row r="69" spans="1:3" ht="29.4" x14ac:dyDescent="0.35">
      <c r="A69" s="79">
        <v>1</v>
      </c>
      <c r="B69" s="80" t="s">
        <v>340</v>
      </c>
      <c r="C69" s="81" t="s">
        <v>341</v>
      </c>
    </row>
    <row r="70" spans="1:3" ht="18" x14ac:dyDescent="0.35">
      <c r="A70" s="82">
        <v>2</v>
      </c>
      <c r="B70" s="77" t="s">
        <v>342</v>
      </c>
      <c r="C70" s="83" t="s">
        <v>343</v>
      </c>
    </row>
    <row r="71" spans="1:3" ht="18" x14ac:dyDescent="0.35">
      <c r="A71" s="82">
        <v>3</v>
      </c>
      <c r="B71" s="77" t="s">
        <v>344</v>
      </c>
      <c r="C71" s="83" t="s">
        <v>345</v>
      </c>
    </row>
    <row r="72" spans="1:3" ht="18" x14ac:dyDescent="0.35">
      <c r="A72" s="82">
        <v>4</v>
      </c>
      <c r="B72" s="78" t="s">
        <v>346</v>
      </c>
      <c r="C72" s="83" t="s">
        <v>347</v>
      </c>
    </row>
    <row r="73" spans="1:3" ht="18" x14ac:dyDescent="0.35">
      <c r="A73" s="82">
        <v>5</v>
      </c>
      <c r="B73" s="78" t="s">
        <v>348</v>
      </c>
      <c r="C73" s="83" t="s">
        <v>349</v>
      </c>
    </row>
    <row r="74" spans="1:3" ht="29.4" x14ac:dyDescent="0.35">
      <c r="A74" s="82">
        <v>6</v>
      </c>
      <c r="B74" s="77" t="s">
        <v>350</v>
      </c>
      <c r="C74" s="84" t="s">
        <v>351</v>
      </c>
    </row>
    <row r="75" spans="1:3" ht="30" thickBot="1" x14ac:dyDescent="0.4">
      <c r="A75" s="85">
        <v>7</v>
      </c>
      <c r="B75" s="86" t="s">
        <v>352</v>
      </c>
      <c r="C75" s="87" t="s">
        <v>353</v>
      </c>
    </row>
  </sheetData>
  <sheetProtection password="C527" sheet="1"/>
  <mergeCells count="8">
    <mergeCell ref="A1:C1"/>
    <mergeCell ref="A67:C67"/>
    <mergeCell ref="A61:C61"/>
    <mergeCell ref="A2:C2"/>
    <mergeCell ref="A16:C16"/>
    <mergeCell ref="A33:C33"/>
    <mergeCell ref="A43:C43"/>
    <mergeCell ref="A54:C54"/>
  </mergeCells>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A60E076BF52D41B23257E2671F2C96" ma:contentTypeVersion="11" ma:contentTypeDescription="Create a new document." ma:contentTypeScope="" ma:versionID="0a9bc7088d5ca0a1696fbc8ac730bb17">
  <xsd:schema xmlns:xsd="http://www.w3.org/2001/XMLSchema" xmlns:xs="http://www.w3.org/2001/XMLSchema" xmlns:p="http://schemas.microsoft.com/office/2006/metadata/properties" xmlns:ns2="6e70902a-82c4-4f84-b104-7a262b353fe7" xmlns:ns3="a7374157-d8d8-4361-854b-f191d77d24be" targetNamespace="http://schemas.microsoft.com/office/2006/metadata/properties" ma:root="true" ma:fieldsID="4a5d706a5876e3e628ce4360beeddf5d" ns2:_="" ns3:_="">
    <xsd:import namespace="6e70902a-82c4-4f84-b104-7a262b353fe7"/>
    <xsd:import namespace="a7374157-d8d8-4361-854b-f191d77d24b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70902a-82c4-4f84-b104-7a262b353f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374157-d8d8-4361-854b-f191d77d24b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EB35E3-7612-4DFF-9848-BC1AADFBE3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70902a-82c4-4f84-b104-7a262b353fe7"/>
    <ds:schemaRef ds:uri="a7374157-d8d8-4361-854b-f191d77d24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603136-9C8E-432E-B226-F7710AEF9A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PADS Overview</vt:lpstr>
      <vt:lpstr>PADS Template</vt:lpstr>
      <vt:lpstr>Guidelines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AASHIKA</dc:creator>
  <cp:keywords/>
  <dc:description/>
  <cp:lastModifiedBy>VIMAL E.A</cp:lastModifiedBy>
  <cp:revision/>
  <dcterms:created xsi:type="dcterms:W3CDTF">2019-09-14T04:26:26Z</dcterms:created>
  <dcterms:modified xsi:type="dcterms:W3CDTF">2026-08-05T15:31:02Z</dcterms:modified>
  <cp:category/>
  <cp:contentStatus/>
</cp:coreProperties>
</file>